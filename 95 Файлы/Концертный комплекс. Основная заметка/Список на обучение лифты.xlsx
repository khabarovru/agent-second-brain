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Концертный комплекс. Основная заметка\"/>
    </mc:Choice>
  </mc:AlternateContent>
  <bookViews>
    <workbookView xWindow="-120" yWindow="-120" windowWidth="29040" windowHeight="15720" firstSheet="3" activeTab="3"/>
  </bookViews>
  <sheets>
    <sheet name="Июль 2025" sheetId="1" state="hidden" r:id="rId1"/>
    <sheet name=" Август 2025" sheetId="4" state="hidden" r:id="rId2"/>
    <sheet name="Сентябрь 2025 " sheetId="6" state="hidden" r:id="rId3"/>
    <sheet name="Ноябрь 2025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82" i="4" l="1"/>
  <c r="AL54" i="4" l="1"/>
  <c r="AH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I28" i="6"/>
  <c r="F28" i="6"/>
  <c r="Z83" i="6" l="1"/>
  <c r="AJ58" i="6" l="1"/>
  <c r="AK58" i="6" s="1"/>
  <c r="AJ22" i="6" l="1"/>
  <c r="AL22" i="6" s="1"/>
  <c r="AJ23" i="6"/>
  <c r="AL23" i="6" s="1"/>
  <c r="AK23" i="6" l="1"/>
  <c r="AK22" i="6"/>
  <c r="AK22" i="4"/>
  <c r="AM22" i="4" s="1"/>
  <c r="AK23" i="4"/>
  <c r="AL23" i="4" s="1"/>
  <c r="AL22" i="4" l="1"/>
  <c r="AM23" i="4"/>
  <c r="AI89" i="6" l="1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AJ88" i="6"/>
  <c r="AL88" i="6" s="1"/>
  <c r="AJ87" i="6"/>
  <c r="AL87" i="6" s="1"/>
  <c r="AJ86" i="6"/>
  <c r="AL86" i="6" s="1"/>
  <c r="AJ85" i="6"/>
  <c r="AJ84" i="6"/>
  <c r="AI83" i="6"/>
  <c r="AH83" i="6"/>
  <c r="AG83" i="6"/>
  <c r="AF83" i="6"/>
  <c r="AE83" i="6"/>
  <c r="AD83" i="6"/>
  <c r="AC83" i="6"/>
  <c r="AB83" i="6"/>
  <c r="AA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AJ82" i="6"/>
  <c r="AJ81" i="6"/>
  <c r="AJ80" i="6"/>
  <c r="AL80" i="6" s="1"/>
  <c r="AJ79" i="6"/>
  <c r="AL79" i="6" s="1"/>
  <c r="AJ78" i="6"/>
  <c r="AL78" i="6" s="1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AJ76" i="6"/>
  <c r="AL76" i="6" s="1"/>
  <c r="AJ75" i="6"/>
  <c r="AL75" i="6" s="1"/>
  <c r="AJ74" i="6"/>
  <c r="AL74" i="6" s="1"/>
  <c r="AJ73" i="6"/>
  <c r="AJ72" i="6"/>
  <c r="AL72" i="6" s="1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AJ70" i="6"/>
  <c r="AL70" i="6" s="1"/>
  <c r="AJ69" i="6"/>
  <c r="AL69" i="6" s="1"/>
  <c r="AJ68" i="6"/>
  <c r="AJ67" i="6"/>
  <c r="AJ66" i="6"/>
  <c r="AL66" i="6" s="1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AJ63" i="6"/>
  <c r="AK63" i="6" s="1"/>
  <c r="AL63" i="6" s="1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AJ60" i="6"/>
  <c r="AK60" i="6" s="1"/>
  <c r="AJ59" i="6"/>
  <c r="AK59" i="6" s="1"/>
  <c r="AJ57" i="6"/>
  <c r="AK57" i="6" s="1"/>
  <c r="AJ56" i="6"/>
  <c r="AJ55" i="6"/>
  <c r="AL55" i="6" s="1"/>
  <c r="AJ54" i="6"/>
  <c r="AK54" i="6" s="1"/>
  <c r="AJ53" i="6"/>
  <c r="AL53" i="6" s="1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AJ50" i="6"/>
  <c r="AK50" i="6" s="1"/>
  <c r="AJ49" i="6"/>
  <c r="AK49" i="6" s="1"/>
  <c r="AJ48" i="6"/>
  <c r="AK48" i="6" s="1"/>
  <c r="AJ47" i="6"/>
  <c r="AK47" i="6" s="1"/>
  <c r="AJ46" i="6"/>
  <c r="AK46" i="6" s="1"/>
  <c r="AJ45" i="6"/>
  <c r="AJ44" i="6"/>
  <c r="AJ43" i="6"/>
  <c r="AJ42" i="6"/>
  <c r="AL42" i="6" s="1"/>
  <c r="AJ41" i="6"/>
  <c r="AJ40" i="6"/>
  <c r="AL40" i="6" s="1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AJ37" i="6"/>
  <c r="AK37" i="6" s="1"/>
  <c r="AJ36" i="6"/>
  <c r="AK36" i="6" s="1"/>
  <c r="AJ35" i="6"/>
  <c r="AL35" i="6" s="1"/>
  <c r="AJ34" i="6"/>
  <c r="AJ33" i="6"/>
  <c r="AJ32" i="6"/>
  <c r="AL32" i="6" s="1"/>
  <c r="AJ31" i="6"/>
  <c r="AL31" i="6" s="1"/>
  <c r="AJ30" i="6"/>
  <c r="AK30" i="6" s="1"/>
  <c r="AJ27" i="6"/>
  <c r="AK27" i="6" s="1"/>
  <c r="AJ26" i="6"/>
  <c r="AK26" i="6" s="1"/>
  <c r="AJ25" i="6"/>
  <c r="AK25" i="6" s="1"/>
  <c r="AJ24" i="6"/>
  <c r="AK24" i="6" s="1"/>
  <c r="AJ21" i="6"/>
  <c r="AL21" i="6" s="1"/>
  <c r="AJ20" i="6"/>
  <c r="AJ19" i="6"/>
  <c r="AL19" i="6" s="1"/>
  <c r="AJ18" i="6"/>
  <c r="AL18" i="6" s="1"/>
  <c r="AJ17" i="6"/>
  <c r="AL17" i="6" s="1"/>
  <c r="AJ16" i="6"/>
  <c r="AJ15" i="6"/>
  <c r="AK15" i="6" s="1"/>
  <c r="AL15" i="6" s="1"/>
  <c r="AJ14" i="6"/>
  <c r="AK14" i="6" s="1"/>
  <c r="AL14" i="6" s="1"/>
  <c r="AJ13" i="6"/>
  <c r="AJ12" i="6"/>
  <c r="AL12" i="6" s="1"/>
  <c r="AJ11" i="6"/>
  <c r="AL11" i="6" s="1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AJ8" i="6"/>
  <c r="AL8" i="6" s="1"/>
  <c r="AJ7" i="6"/>
  <c r="F90" i="6" l="1"/>
  <c r="AK45" i="6"/>
  <c r="AL45" i="6"/>
  <c r="AK82" i="6"/>
  <c r="AL82" i="6"/>
  <c r="AK68" i="6"/>
  <c r="AL68" i="6"/>
  <c r="AK73" i="6"/>
  <c r="AL73" i="6"/>
  <c r="AL77" i="6" s="1"/>
  <c r="AK56" i="6"/>
  <c r="AL56" i="6"/>
  <c r="AK81" i="6"/>
  <c r="AL81" i="6"/>
  <c r="AK85" i="6"/>
  <c r="AL85" i="6"/>
  <c r="AK67" i="6"/>
  <c r="AL67" i="6"/>
  <c r="AK84" i="6"/>
  <c r="AL84" i="6"/>
  <c r="AK34" i="6"/>
  <c r="AL34" i="6"/>
  <c r="AK33" i="6"/>
  <c r="AL33" i="6"/>
  <c r="AL30" i="6"/>
  <c r="AK13" i="6"/>
  <c r="AL13" i="6"/>
  <c r="AK16" i="6"/>
  <c r="AL16" i="6"/>
  <c r="AK43" i="6"/>
  <c r="AL43" i="6"/>
  <c r="AL9" i="6"/>
  <c r="AK20" i="6"/>
  <c r="AL20" i="6"/>
  <c r="AK44" i="6"/>
  <c r="AL44" i="6"/>
  <c r="AK41" i="6"/>
  <c r="AL41" i="6"/>
  <c r="K90" i="6"/>
  <c r="AI90" i="6"/>
  <c r="AA90" i="6"/>
  <c r="AK69" i="6"/>
  <c r="H90" i="6"/>
  <c r="P90" i="6"/>
  <c r="J90" i="6"/>
  <c r="Z90" i="6"/>
  <c r="AH90" i="6"/>
  <c r="AJ9" i="6"/>
  <c r="AK35" i="6"/>
  <c r="X90" i="6"/>
  <c r="AF90" i="6"/>
  <c r="AJ64" i="6"/>
  <c r="R90" i="6"/>
  <c r="S90" i="6"/>
  <c r="AK12" i="6"/>
  <c r="I90" i="6"/>
  <c r="Q90" i="6"/>
  <c r="Y90" i="6"/>
  <c r="AG90" i="6"/>
  <c r="AJ38" i="6"/>
  <c r="AJ51" i="6"/>
  <c r="AK86" i="6"/>
  <c r="AK7" i="6"/>
  <c r="AK70" i="6"/>
  <c r="AK72" i="6"/>
  <c r="AK8" i="6"/>
  <c r="T90" i="6"/>
  <c r="AB90" i="6"/>
  <c r="AK87" i="6"/>
  <c r="AJ61" i="6"/>
  <c r="L90" i="6"/>
  <c r="AL64" i="6"/>
  <c r="AK64" i="6"/>
  <c r="AK18" i="6"/>
  <c r="AJ71" i="6"/>
  <c r="AL54" i="6"/>
  <c r="AJ77" i="6"/>
  <c r="M90" i="6"/>
  <c r="AL57" i="6"/>
  <c r="AK74" i="6"/>
  <c r="AJ83" i="6"/>
  <c r="AK88" i="6"/>
  <c r="AK11" i="6"/>
  <c r="AK19" i="6"/>
  <c r="N90" i="6"/>
  <c r="V90" i="6"/>
  <c r="AD90" i="6"/>
  <c r="AK32" i="6"/>
  <c r="AK42" i="6"/>
  <c r="AK55" i="6"/>
  <c r="AK66" i="6"/>
  <c r="AK80" i="6"/>
  <c r="AJ89" i="6"/>
  <c r="AK76" i="6"/>
  <c r="AJ28" i="6"/>
  <c r="O90" i="6"/>
  <c r="U90" i="6"/>
  <c r="AC90" i="6"/>
  <c r="AK79" i="6"/>
  <c r="AK21" i="6"/>
  <c r="AK53" i="6"/>
  <c r="AE90" i="6"/>
  <c r="AK17" i="6"/>
  <c r="AK40" i="6"/>
  <c r="AK75" i="6"/>
  <c r="AK78" i="6"/>
  <c r="W90" i="6"/>
  <c r="AL61" i="6" l="1"/>
  <c r="AK77" i="6"/>
  <c r="AL89" i="6"/>
  <c r="AK83" i="6"/>
  <c r="AK51" i="6"/>
  <c r="AK38" i="6"/>
  <c r="AK9" i="6"/>
  <c r="AL28" i="6"/>
  <c r="AK89" i="6"/>
  <c r="AL38" i="6"/>
  <c r="AJ90" i="6"/>
  <c r="AL83" i="6"/>
  <c r="AK71" i="6"/>
  <c r="AL71" i="6"/>
  <c r="AK28" i="6"/>
  <c r="AL51" i="6"/>
  <c r="AK61" i="6"/>
  <c r="AK40" i="1"/>
  <c r="AL40" i="1" s="1"/>
  <c r="AL90" i="6" l="1"/>
  <c r="AK90" i="6"/>
  <c r="AK30" i="1" l="1"/>
  <c r="AL30" i="1" s="1"/>
  <c r="AM30" i="1" s="1"/>
  <c r="AM40" i="1"/>
  <c r="AK41" i="1"/>
  <c r="AK14" i="4" l="1"/>
  <c r="AL14" i="4" s="1"/>
  <c r="AM14" i="4" s="1"/>
  <c r="AK74" i="1" l="1"/>
  <c r="AL74" i="1" s="1"/>
  <c r="AM74" i="1" s="1"/>
  <c r="AM64" i="1"/>
  <c r="AK68" i="1" l="1"/>
  <c r="AL68" i="1" s="1"/>
  <c r="AM68" i="1" s="1"/>
  <c r="AK40" i="4" l="1"/>
  <c r="AM40" i="4" s="1"/>
  <c r="AK12" i="4"/>
  <c r="AK11" i="4"/>
  <c r="AM11" i="4" s="1"/>
  <c r="AL12" i="4" l="1"/>
  <c r="AM12" i="4"/>
  <c r="AL11" i="4"/>
  <c r="AL40" i="4"/>
  <c r="AK13" i="4"/>
  <c r="AM13" i="4" s="1"/>
  <c r="AK15" i="4"/>
  <c r="AM15" i="4" s="1"/>
  <c r="AK45" i="1" l="1"/>
  <c r="AK11" i="1"/>
  <c r="AK12" i="1"/>
  <c r="AL12" i="1" s="1"/>
  <c r="AM12" i="1" s="1"/>
  <c r="AL11" i="1"/>
  <c r="AM31" i="1" l="1"/>
  <c r="AJ89" i="4" l="1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AK88" i="4"/>
  <c r="AK87" i="4"/>
  <c r="AK86" i="4"/>
  <c r="AK85" i="4"/>
  <c r="AK84" i="4"/>
  <c r="AM84" i="4" s="1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AK82" i="4"/>
  <c r="AK81" i="4"/>
  <c r="AK80" i="4"/>
  <c r="AM80" i="4" s="1"/>
  <c r="AK79" i="4"/>
  <c r="AK78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AK76" i="4"/>
  <c r="AK75" i="4"/>
  <c r="AK74" i="4"/>
  <c r="AK73" i="4"/>
  <c r="AK72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AK70" i="4"/>
  <c r="AK69" i="4"/>
  <c r="AK68" i="4"/>
  <c r="AK67" i="4"/>
  <c r="AK66" i="4"/>
  <c r="AM66" i="4" s="1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AK63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AK60" i="4"/>
  <c r="AL60" i="4" s="1"/>
  <c r="AK59" i="4"/>
  <c r="AL59" i="4" s="1"/>
  <c r="AK58" i="4"/>
  <c r="AK57" i="4"/>
  <c r="AK56" i="4"/>
  <c r="AM56" i="4" s="1"/>
  <c r="AK55" i="4"/>
  <c r="AK54" i="4"/>
  <c r="AK53" i="4"/>
  <c r="AM53" i="4" s="1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AK50" i="4"/>
  <c r="AL50" i="4" s="1"/>
  <c r="AK49" i="4"/>
  <c r="AL49" i="4" s="1"/>
  <c r="AK48" i="4"/>
  <c r="AL48" i="4" s="1"/>
  <c r="AK47" i="4"/>
  <c r="AL47" i="4" s="1"/>
  <c r="AK46" i="4"/>
  <c r="AL46" i="4" s="1"/>
  <c r="AK45" i="4"/>
  <c r="AK44" i="4"/>
  <c r="AK43" i="4"/>
  <c r="AK42" i="4"/>
  <c r="AK41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AK37" i="4"/>
  <c r="AL37" i="4" s="1"/>
  <c r="AK36" i="4"/>
  <c r="AL36" i="4" s="1"/>
  <c r="AK35" i="4"/>
  <c r="AM35" i="4" s="1"/>
  <c r="AK34" i="4"/>
  <c r="AK33" i="4"/>
  <c r="AM33" i="4" s="1"/>
  <c r="AK32" i="4"/>
  <c r="AM32" i="4" s="1"/>
  <c r="AK31" i="4"/>
  <c r="AM31" i="4" s="1"/>
  <c r="AK30" i="4"/>
  <c r="AM30" i="4" s="1"/>
  <c r="AK27" i="4"/>
  <c r="AL27" i="4" s="1"/>
  <c r="AK26" i="4"/>
  <c r="AL26" i="4" s="1"/>
  <c r="AK25" i="4"/>
  <c r="AL25" i="4" s="1"/>
  <c r="AK24" i="4"/>
  <c r="AL24" i="4" s="1"/>
  <c r="AK21" i="4"/>
  <c r="AK20" i="4"/>
  <c r="AL20" i="4" s="1"/>
  <c r="AK19" i="4"/>
  <c r="AK18" i="4"/>
  <c r="AK17" i="4"/>
  <c r="AK16" i="4"/>
  <c r="AL15" i="4"/>
  <c r="AL13" i="4"/>
  <c r="AJ9" i="4"/>
  <c r="AJ28" i="4" s="1"/>
  <c r="AI9" i="4"/>
  <c r="AI28" i="4" s="1"/>
  <c r="AH9" i="4"/>
  <c r="AH28" i="4" s="1"/>
  <c r="AG9" i="4"/>
  <c r="AG28" i="4" s="1"/>
  <c r="AF9" i="4"/>
  <c r="AF28" i="4" s="1"/>
  <c r="AE9" i="4"/>
  <c r="AD9" i="4"/>
  <c r="AC9" i="4"/>
  <c r="AC28" i="4" s="1"/>
  <c r="AB9" i="4"/>
  <c r="AB28" i="4" s="1"/>
  <c r="AA9" i="4"/>
  <c r="AA28" i="4" s="1"/>
  <c r="Z9" i="4"/>
  <c r="Z28" i="4" s="1"/>
  <c r="Y9" i="4"/>
  <c r="Y28" i="4" s="1"/>
  <c r="X9" i="4"/>
  <c r="X28" i="4" s="1"/>
  <c r="W9" i="4"/>
  <c r="V9" i="4"/>
  <c r="U9" i="4"/>
  <c r="T9" i="4"/>
  <c r="T28" i="4" s="1"/>
  <c r="S9" i="4"/>
  <c r="S28" i="4" s="1"/>
  <c r="R9" i="4"/>
  <c r="R28" i="4" s="1"/>
  <c r="Q9" i="4"/>
  <c r="Q28" i="4" s="1"/>
  <c r="P9" i="4"/>
  <c r="P28" i="4" s="1"/>
  <c r="O9" i="4"/>
  <c r="N9" i="4"/>
  <c r="M9" i="4"/>
  <c r="M28" i="4" s="1"/>
  <c r="L9" i="4"/>
  <c r="L28" i="4" s="1"/>
  <c r="K9" i="4"/>
  <c r="K28" i="4" s="1"/>
  <c r="J9" i="4"/>
  <c r="J28" i="4" s="1"/>
  <c r="I9" i="4"/>
  <c r="I28" i="4" s="1"/>
  <c r="H9" i="4"/>
  <c r="H28" i="4" s="1"/>
  <c r="G9" i="4"/>
  <c r="G28" i="4" s="1"/>
  <c r="F9" i="4"/>
  <c r="F28" i="4" s="1"/>
  <c r="AK8" i="4"/>
  <c r="AK7" i="4"/>
  <c r="AL21" i="4" l="1"/>
  <c r="AM21" i="4"/>
  <c r="AL45" i="4"/>
  <c r="AM45" i="4"/>
  <c r="AL58" i="4"/>
  <c r="AM58" i="4"/>
  <c r="AL35" i="4"/>
  <c r="AL57" i="4"/>
  <c r="AM57" i="4"/>
  <c r="AL67" i="4"/>
  <c r="AM67" i="4"/>
  <c r="AM79" i="4"/>
  <c r="AL79" i="4"/>
  <c r="AL68" i="4"/>
  <c r="AM68" i="4"/>
  <c r="AL88" i="4"/>
  <c r="AM88" i="4"/>
  <c r="AL69" i="4"/>
  <c r="AM69" i="4"/>
  <c r="AL81" i="4"/>
  <c r="AM81" i="4"/>
  <c r="AL78" i="4"/>
  <c r="AM78" i="4"/>
  <c r="AL41" i="4"/>
  <c r="AM41" i="4"/>
  <c r="AL63" i="4"/>
  <c r="AM63" i="4" s="1"/>
  <c r="AM64" i="4" s="1"/>
  <c r="AL70" i="4"/>
  <c r="AM70" i="4"/>
  <c r="AL72" i="4"/>
  <c r="AM72" i="4"/>
  <c r="AL82" i="4"/>
  <c r="AL33" i="4"/>
  <c r="AL66" i="4"/>
  <c r="AL42" i="4"/>
  <c r="AM42" i="4"/>
  <c r="AL73" i="4"/>
  <c r="AM73" i="4"/>
  <c r="AL85" i="4"/>
  <c r="AM85" i="4"/>
  <c r="AL43" i="4"/>
  <c r="AM43" i="4"/>
  <c r="AM54" i="4"/>
  <c r="AM61" i="4" s="1"/>
  <c r="AL74" i="4"/>
  <c r="AM74" i="4"/>
  <c r="AL86" i="4"/>
  <c r="AM86" i="4"/>
  <c r="AL56" i="4"/>
  <c r="AL76" i="4"/>
  <c r="AM76" i="4"/>
  <c r="AL34" i="4"/>
  <c r="AM34" i="4"/>
  <c r="AM38" i="4" s="1"/>
  <c r="AL30" i="4"/>
  <c r="AL32" i="4"/>
  <c r="AL44" i="4"/>
  <c r="AM44" i="4"/>
  <c r="AM51" i="4" s="1"/>
  <c r="AL55" i="4"/>
  <c r="AM55" i="4"/>
  <c r="AL75" i="4"/>
  <c r="AM75" i="4"/>
  <c r="AL87" i="4"/>
  <c r="AM87" i="4"/>
  <c r="AM20" i="4"/>
  <c r="AL16" i="4"/>
  <c r="AM16" i="4"/>
  <c r="AL17" i="4"/>
  <c r="AM17" i="4"/>
  <c r="AL18" i="4"/>
  <c r="AM18" i="4"/>
  <c r="AL19" i="4"/>
  <c r="AM19" i="4"/>
  <c r="AL8" i="4"/>
  <c r="AM8" i="4"/>
  <c r="AM9" i="4" s="1"/>
  <c r="AK61" i="4"/>
  <c r="AK89" i="4"/>
  <c r="AK83" i="4"/>
  <c r="AL53" i="4"/>
  <c r="P90" i="4"/>
  <c r="AF90" i="4"/>
  <c r="X90" i="4"/>
  <c r="H90" i="4"/>
  <c r="F90" i="4"/>
  <c r="AK28" i="4"/>
  <c r="M90" i="4"/>
  <c r="AK9" i="4"/>
  <c r="AC90" i="4"/>
  <c r="U28" i="4"/>
  <c r="U90" i="4" s="1"/>
  <c r="N28" i="4"/>
  <c r="N90" i="4" s="1"/>
  <c r="V28" i="4"/>
  <c r="V90" i="4" s="1"/>
  <c r="AD28" i="4"/>
  <c r="AD90" i="4" s="1"/>
  <c r="AK38" i="4"/>
  <c r="AK77" i="4"/>
  <c r="AL80" i="4"/>
  <c r="I90" i="4"/>
  <c r="Q90" i="4"/>
  <c r="Y90" i="4"/>
  <c r="AG90" i="4"/>
  <c r="O28" i="4"/>
  <c r="O90" i="4" s="1"/>
  <c r="W28" i="4"/>
  <c r="W90" i="4" s="1"/>
  <c r="AE28" i="4"/>
  <c r="AE90" i="4" s="1"/>
  <c r="AK64" i="4"/>
  <c r="AK71" i="4"/>
  <c r="J90" i="4"/>
  <c r="R90" i="4"/>
  <c r="Z90" i="4"/>
  <c r="AH90" i="4"/>
  <c r="AL84" i="4"/>
  <c r="K90" i="4"/>
  <c r="S90" i="4"/>
  <c r="AA90" i="4"/>
  <c r="AI90" i="4"/>
  <c r="AL7" i="4"/>
  <c r="AK51" i="4"/>
  <c r="L90" i="4"/>
  <c r="T90" i="4"/>
  <c r="AB90" i="4"/>
  <c r="AJ90" i="4"/>
  <c r="AM81" i="1"/>
  <c r="AM71" i="4" l="1"/>
  <c r="AM77" i="4"/>
  <c r="AM89" i="4"/>
  <c r="AM83" i="4"/>
  <c r="AM90" i="4"/>
  <c r="AM28" i="4"/>
  <c r="AL51" i="4"/>
  <c r="AL71" i="4"/>
  <c r="AL77" i="4"/>
  <c r="AL38" i="4"/>
  <c r="AL61" i="4"/>
  <c r="AL89" i="4"/>
  <c r="AL28" i="4"/>
  <c r="AL64" i="4"/>
  <c r="AL9" i="4"/>
  <c r="AL83" i="4"/>
  <c r="AK90" i="4"/>
  <c r="AL90" i="4" l="1"/>
  <c r="AM11" i="1"/>
  <c r="AK23" i="1" l="1"/>
  <c r="AL23" i="1" s="1"/>
  <c r="AM23" i="1" s="1"/>
  <c r="F64" i="1" l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F91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F85" i="1"/>
  <c r="AK90" i="1"/>
  <c r="AL90" i="1" s="1"/>
  <c r="AK89" i="1"/>
  <c r="AL89" i="1" s="1"/>
  <c r="AM89" i="1" s="1"/>
  <c r="AM91" i="1" s="1"/>
  <c r="AK88" i="1"/>
  <c r="AL88" i="1" s="1"/>
  <c r="AM88" i="1" s="1"/>
  <c r="AK87" i="1"/>
  <c r="AL87" i="1" s="1"/>
  <c r="AK86" i="1"/>
  <c r="AL86" i="1" s="1"/>
  <c r="AK84" i="1"/>
  <c r="AL84" i="1" s="1"/>
  <c r="AM84" i="1" s="1"/>
  <c r="AK83" i="1"/>
  <c r="AL83" i="1" s="1"/>
  <c r="AM83" i="1" s="1"/>
  <c r="AK82" i="1"/>
  <c r="AL82" i="1" s="1"/>
  <c r="AM82" i="1" s="1"/>
  <c r="AK81" i="1"/>
  <c r="AK80" i="1"/>
  <c r="AL80" i="1" s="1"/>
  <c r="AM80" i="1" s="1"/>
  <c r="AK75" i="1"/>
  <c r="AL75" i="1" s="1"/>
  <c r="AM75" i="1" s="1"/>
  <c r="AK76" i="1"/>
  <c r="AK77" i="1"/>
  <c r="AL77" i="1" s="1"/>
  <c r="AM77" i="1" s="1"/>
  <c r="AK78" i="1"/>
  <c r="AL78" i="1" s="1"/>
  <c r="AM78" i="1" s="1"/>
  <c r="AK73" i="1"/>
  <c r="AL73" i="1" s="1"/>
  <c r="AM73" i="1" s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F79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F72" i="1"/>
  <c r="AK67" i="1"/>
  <c r="AL67" i="1" s="1"/>
  <c r="AM67" i="1" s="1"/>
  <c r="AK69" i="1"/>
  <c r="AK70" i="1"/>
  <c r="AL70" i="1" s="1"/>
  <c r="AM70" i="1" s="1"/>
  <c r="AK71" i="1"/>
  <c r="AL71" i="1" s="1"/>
  <c r="AM71" i="1" s="1"/>
  <c r="AK66" i="1"/>
  <c r="AL66" i="1" s="1"/>
  <c r="AM66" i="1" s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F61" i="1"/>
  <c r="AK63" i="1"/>
  <c r="AL63" i="1" s="1"/>
  <c r="AL64" i="1" s="1"/>
  <c r="AK55" i="1"/>
  <c r="AL55" i="1" s="1"/>
  <c r="AM55" i="1" s="1"/>
  <c r="AK56" i="1"/>
  <c r="AL56" i="1" s="1"/>
  <c r="AM56" i="1" s="1"/>
  <c r="AK57" i="1"/>
  <c r="AL57" i="1" s="1"/>
  <c r="AM57" i="1" s="1"/>
  <c r="AK58" i="1"/>
  <c r="AL58" i="1" s="1"/>
  <c r="AM58" i="1" s="1"/>
  <c r="AK59" i="1"/>
  <c r="AL59" i="1" s="1"/>
  <c r="AK60" i="1"/>
  <c r="AL60" i="1" s="1"/>
  <c r="AK54" i="1"/>
  <c r="AL54" i="1" s="1"/>
  <c r="AM54" i="1" s="1"/>
  <c r="AK53" i="1"/>
  <c r="AL53" i="1" s="1"/>
  <c r="AK42" i="1"/>
  <c r="AL42" i="1" s="1"/>
  <c r="AM42" i="1" s="1"/>
  <c r="AK43" i="1"/>
  <c r="AL43" i="1" s="1"/>
  <c r="AK44" i="1"/>
  <c r="AL45" i="1"/>
  <c r="AK46" i="1"/>
  <c r="AL46" i="1" s="1"/>
  <c r="AK47" i="1"/>
  <c r="AL47" i="1" s="1"/>
  <c r="AK48" i="1"/>
  <c r="AK49" i="1"/>
  <c r="AL49" i="1" s="1"/>
  <c r="AK50" i="1"/>
  <c r="AL50" i="1" s="1"/>
  <c r="AL4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F51" i="1"/>
  <c r="AK32" i="1"/>
  <c r="AK33" i="1"/>
  <c r="AK34" i="1"/>
  <c r="AK35" i="1"/>
  <c r="AL35" i="1" s="1"/>
  <c r="AM35" i="1" s="1"/>
  <c r="AK36" i="1"/>
  <c r="AK37" i="1"/>
  <c r="AL37" i="1" s="1"/>
  <c r="AM37" i="1" s="1"/>
  <c r="AK31" i="1"/>
  <c r="G9" i="1"/>
  <c r="G28" i="1" s="1"/>
  <c r="H9" i="1"/>
  <c r="H28" i="1" s="1"/>
  <c r="I9" i="1"/>
  <c r="I28" i="1" s="1"/>
  <c r="J9" i="1"/>
  <c r="J28" i="1" s="1"/>
  <c r="K9" i="1"/>
  <c r="K28" i="1" s="1"/>
  <c r="L9" i="1"/>
  <c r="L28" i="1" s="1"/>
  <c r="M9" i="1"/>
  <c r="M28" i="1" s="1"/>
  <c r="N9" i="1"/>
  <c r="N28" i="1" s="1"/>
  <c r="O9" i="1"/>
  <c r="O28" i="1" s="1"/>
  <c r="P9" i="1"/>
  <c r="P28" i="1" s="1"/>
  <c r="Q9" i="1"/>
  <c r="Q28" i="1" s="1"/>
  <c r="R9" i="1"/>
  <c r="R28" i="1" s="1"/>
  <c r="S9" i="1"/>
  <c r="S28" i="1" s="1"/>
  <c r="T9" i="1"/>
  <c r="T28" i="1" s="1"/>
  <c r="U9" i="1"/>
  <c r="U28" i="1" s="1"/>
  <c r="V9" i="1"/>
  <c r="V28" i="1" s="1"/>
  <c r="W9" i="1"/>
  <c r="W28" i="1" s="1"/>
  <c r="X9" i="1"/>
  <c r="X28" i="1" s="1"/>
  <c r="Y9" i="1"/>
  <c r="Y28" i="1" s="1"/>
  <c r="Z9" i="1"/>
  <c r="Z28" i="1" s="1"/>
  <c r="AA9" i="1"/>
  <c r="AA28" i="1" s="1"/>
  <c r="AB9" i="1"/>
  <c r="AB28" i="1" s="1"/>
  <c r="AC9" i="1"/>
  <c r="AC28" i="1" s="1"/>
  <c r="AD9" i="1"/>
  <c r="AE9" i="1"/>
  <c r="AE28" i="1" s="1"/>
  <c r="AF9" i="1"/>
  <c r="AF28" i="1" s="1"/>
  <c r="AG9" i="1"/>
  <c r="AG28" i="1" s="1"/>
  <c r="AH9" i="1"/>
  <c r="AH28" i="1" s="1"/>
  <c r="AI9" i="1"/>
  <c r="AI28" i="1" s="1"/>
  <c r="AJ9" i="1"/>
  <c r="AJ28" i="1" s="1"/>
  <c r="F9" i="1"/>
  <c r="F28" i="1" s="1"/>
  <c r="AD2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F38" i="1"/>
  <c r="AM85" i="1" l="1"/>
  <c r="AM61" i="1"/>
  <c r="AL69" i="1"/>
  <c r="AM69" i="1" s="1"/>
  <c r="AM72" i="1" s="1"/>
  <c r="AL44" i="1"/>
  <c r="AM44" i="1" s="1"/>
  <c r="AM51" i="1" s="1"/>
  <c r="AL85" i="1"/>
  <c r="AK79" i="1"/>
  <c r="AL34" i="1"/>
  <c r="AM34" i="1" s="1"/>
  <c r="AL33" i="1"/>
  <c r="AM33" i="1" s="1"/>
  <c r="AL32" i="1"/>
  <c r="AM32" i="1" s="1"/>
  <c r="F92" i="1"/>
  <c r="AL76" i="1"/>
  <c r="AM76" i="1" s="1"/>
  <c r="AM79" i="1" s="1"/>
  <c r="AK51" i="1"/>
  <c r="AL61" i="1"/>
  <c r="AK72" i="1"/>
  <c r="AK85" i="1"/>
  <c r="AL91" i="1"/>
  <c r="AK91" i="1"/>
  <c r="AL72" i="1"/>
  <c r="AK64" i="1"/>
  <c r="AK61" i="1"/>
  <c r="AL48" i="1"/>
  <c r="AK38" i="1"/>
  <c r="AL36" i="1"/>
  <c r="AM36" i="1" s="1"/>
  <c r="AM92" i="1" l="1"/>
  <c r="AM38" i="1"/>
  <c r="AL51" i="1"/>
  <c r="AL79" i="1"/>
  <c r="AL38" i="1"/>
  <c r="AK15" i="1"/>
  <c r="AL15" i="1" s="1"/>
  <c r="AM15" i="1" s="1"/>
  <c r="AK16" i="1"/>
  <c r="AL16" i="1" s="1"/>
  <c r="AM16" i="1" s="1"/>
  <c r="AK17" i="1"/>
  <c r="AL17" i="1" s="1"/>
  <c r="AM17" i="1" s="1"/>
  <c r="AK18" i="1"/>
  <c r="AL18" i="1" s="1"/>
  <c r="AM18" i="1" s="1"/>
  <c r="AK19" i="1"/>
  <c r="AL19" i="1" s="1"/>
  <c r="AM19" i="1" s="1"/>
  <c r="AK20" i="1"/>
  <c r="AL20" i="1" s="1"/>
  <c r="AM20" i="1" s="1"/>
  <c r="AK21" i="1"/>
  <c r="AL21" i="1" s="1"/>
  <c r="AM21" i="1" s="1"/>
  <c r="AK22" i="1"/>
  <c r="AL22" i="1" s="1"/>
  <c r="AM22" i="1" s="1"/>
  <c r="AK24" i="1"/>
  <c r="AL24" i="1" s="1"/>
  <c r="AM24" i="1" s="1"/>
  <c r="AK25" i="1"/>
  <c r="AL25" i="1" s="1"/>
  <c r="AM25" i="1" s="1"/>
  <c r="AK26" i="1"/>
  <c r="AK27" i="1"/>
  <c r="AL27" i="1" s="1"/>
  <c r="AM27" i="1" s="1"/>
  <c r="AK14" i="1"/>
  <c r="AL14" i="1" s="1"/>
  <c r="AM14" i="1" s="1"/>
  <c r="AK13" i="1"/>
  <c r="AL13" i="1" s="1"/>
  <c r="AM13" i="1" s="1"/>
  <c r="AK8" i="1"/>
  <c r="AL8" i="1" s="1"/>
  <c r="AM8" i="1" s="1"/>
  <c r="AM9" i="1" s="1"/>
  <c r="AK7" i="1"/>
  <c r="AM28" i="1" l="1"/>
  <c r="AL7" i="1"/>
  <c r="AL9" i="1" s="1"/>
  <c r="AK9" i="1"/>
  <c r="AL26" i="1"/>
  <c r="AK28" i="1"/>
  <c r="AL28" i="1" l="1"/>
  <c r="AM26" i="1"/>
  <c r="AK92" i="1"/>
  <c r="AL92" i="1"/>
  <c r="AI92" i="1" l="1"/>
  <c r="AH92" i="1" l="1"/>
  <c r="AJ92" i="1"/>
  <c r="AG92" i="1"/>
  <c r="G64" i="1" l="1"/>
  <c r="H64" i="1"/>
  <c r="I64" i="1"/>
  <c r="J64" i="1"/>
  <c r="K64" i="1"/>
  <c r="L64" i="1"/>
  <c r="M64" i="1"/>
  <c r="AF64" i="1" l="1"/>
  <c r="U64" i="1" l="1"/>
  <c r="V64" i="1"/>
  <c r="AF92" i="1" l="1"/>
  <c r="V92" i="1"/>
  <c r="U92" i="1"/>
  <c r="AE64" i="1"/>
  <c r="AD64" i="1"/>
  <c r="AC64" i="1"/>
  <c r="AB64" i="1"/>
  <c r="AA64" i="1"/>
  <c r="Z64" i="1"/>
  <c r="Y64" i="1"/>
  <c r="X64" i="1"/>
  <c r="W64" i="1"/>
  <c r="T64" i="1"/>
  <c r="S64" i="1"/>
  <c r="R64" i="1"/>
  <c r="Q64" i="1"/>
  <c r="P64" i="1"/>
  <c r="O64" i="1"/>
  <c r="N64" i="1"/>
  <c r="M92" i="1"/>
  <c r="L92" i="1"/>
  <c r="I92" i="1"/>
  <c r="K92" i="1" l="1"/>
  <c r="R92" i="1"/>
  <c r="H92" i="1"/>
  <c r="J92" i="1"/>
  <c r="S92" i="1"/>
  <c r="Q92" i="1"/>
  <c r="AE92" i="1"/>
  <c r="AD92" i="1"/>
  <c r="Z92" i="1"/>
  <c r="AC92" i="1"/>
  <c r="T92" i="1"/>
  <c r="Y92" i="1"/>
  <c r="AB92" i="1"/>
  <c r="AA92" i="1"/>
  <c r="W92" i="1"/>
  <c r="X92" i="1"/>
  <c r="N92" i="1"/>
  <c r="O92" i="1"/>
  <c r="P92" i="1"/>
</calcChain>
</file>

<file path=xl/sharedStrings.xml><?xml version="1.0" encoding="utf-8"?>
<sst xmlns="http://schemas.openxmlformats.org/spreadsheetml/2006/main" count="1731" uniqueCount="260">
  <si>
    <t>Долженко Александр Александрович</t>
  </si>
  <si>
    <t>980 476 46 54 раб.   928 447 47 70</t>
  </si>
  <si>
    <t>5р2в</t>
  </si>
  <si>
    <t>Краснов Руслан Сергеевич</t>
  </si>
  <si>
    <t>Кровельщик</t>
  </si>
  <si>
    <t>918 918 84 59</t>
  </si>
  <si>
    <t>Плиточник</t>
  </si>
  <si>
    <t xml:space="preserve">Иващенко Юрий Алексеевич </t>
  </si>
  <si>
    <t>Рабочий по комплексному обслуживанию зданий (штукатур-маляр)</t>
  </si>
  <si>
    <t>928 409 79 96</t>
  </si>
  <si>
    <t>Короткова Ирина Юрьевна</t>
  </si>
  <si>
    <t>918 601 25 20</t>
  </si>
  <si>
    <t>Пащена Людмила Михайловна</t>
  </si>
  <si>
    <t>965 473 84 51</t>
  </si>
  <si>
    <t>Тригуб Анатолий Петрович</t>
  </si>
  <si>
    <t>988 405 18 72</t>
  </si>
  <si>
    <t>Тригуб Виктория Викторовна</t>
  </si>
  <si>
    <t>Шепилев Владимир Александрович</t>
  </si>
  <si>
    <t>961 242 38 44</t>
  </si>
  <si>
    <t>Сосин Сергей Анатольевич</t>
  </si>
  <si>
    <t>906 842 05 23</t>
  </si>
  <si>
    <t>Морозов Николай Иванович</t>
  </si>
  <si>
    <t>918 109 19 61</t>
  </si>
  <si>
    <t>2р2в</t>
  </si>
  <si>
    <t>Итого в смену</t>
  </si>
  <si>
    <t>Ведущий инженер холодоснабжения, вентиляции и кондиционирования</t>
  </si>
  <si>
    <t>980 476 46 69 раб.                                     938 488 38 46</t>
  </si>
  <si>
    <t>Техник по обслуживанию зданий (ВиК)</t>
  </si>
  <si>
    <t>Болотин Олег Николаевич</t>
  </si>
  <si>
    <t>918 185 40 07</t>
  </si>
  <si>
    <t>Березняцкий Ренат Валериевич</t>
  </si>
  <si>
    <t>900 288 44 64</t>
  </si>
  <si>
    <t>Свинарев Дмитрий Александрович</t>
  </si>
  <si>
    <t>938 444 03 15</t>
  </si>
  <si>
    <t>Механик (ВиК)</t>
  </si>
  <si>
    <t xml:space="preserve">Вакансия </t>
  </si>
  <si>
    <t>Ведущий инженер отопления, водоснабжения, водоотведения и канализации</t>
  </si>
  <si>
    <t>Кривощеков Евгений Анатольевич</t>
  </si>
  <si>
    <t>Техник по обслуживанию зданий(сантехник)</t>
  </si>
  <si>
    <t>Блащук Дмитрий Александрович</t>
  </si>
  <si>
    <t>918 001 80 44</t>
  </si>
  <si>
    <t>Шикарев Алексей Евгеньевич</t>
  </si>
  <si>
    <t>988 405 70 02</t>
  </si>
  <si>
    <t>Васильев Андрей Евдокимович</t>
  </si>
  <si>
    <t>918 102 94 63</t>
  </si>
  <si>
    <t>Иванчук Владимир Викторович</t>
  </si>
  <si>
    <t>Рудяков Александр Николаевич</t>
  </si>
  <si>
    <t>918 207 96 44</t>
  </si>
  <si>
    <t>Щапов Николай Викторович</t>
  </si>
  <si>
    <t>938 488 87 97</t>
  </si>
  <si>
    <t>Булатов Иван Анатольевич</t>
  </si>
  <si>
    <t>Ведущий инженер энергетик</t>
  </si>
  <si>
    <t>918 911 12 90</t>
  </si>
  <si>
    <t>Щербань Андрей Андреевич</t>
  </si>
  <si>
    <t>Специалист по эксплуатации электрических сетей и оборудования</t>
  </si>
  <si>
    <t>Артеев Сергей Исидорович</t>
  </si>
  <si>
    <t>988 284 49 15</t>
  </si>
  <si>
    <t>Саранчин Аркадий Павлович</t>
  </si>
  <si>
    <t>Инженер КиП</t>
  </si>
  <si>
    <t>980 476 46 80 раб.                                                        963 161 47 80</t>
  </si>
  <si>
    <t xml:space="preserve">Дежурный инженер </t>
  </si>
  <si>
    <t>980 476 44 36 раб. 919 397 53 27</t>
  </si>
  <si>
    <t>1р3в</t>
  </si>
  <si>
    <t>Алексеев Вячеслав Александрович</t>
  </si>
  <si>
    <t xml:space="preserve">988 990 90 58
</t>
  </si>
  <si>
    <t>Колодяжный Семен Васильевич</t>
  </si>
  <si>
    <t>988 185 43 35</t>
  </si>
  <si>
    <t>Выголов Владимир Анатольевич</t>
  </si>
  <si>
    <t>980 476 44 36 раб. 919 405 02 71</t>
  </si>
  <si>
    <t>Купцов Юрий Владимирович</t>
  </si>
  <si>
    <t>918 402 12 31</t>
  </si>
  <si>
    <t>Россомахин Игорь Валерьевич</t>
  </si>
  <si>
    <t>918 602 47 90</t>
  </si>
  <si>
    <t>Гюнтер Александр Александрович</t>
  </si>
  <si>
    <t>962 887 13 97</t>
  </si>
  <si>
    <t>Сереженков Сергей Юрьевич</t>
  </si>
  <si>
    <t>980 476 44 36 раб. 908 671 00 31</t>
  </si>
  <si>
    <t>Земляков Виталий Сргеевич</t>
  </si>
  <si>
    <t>918 205 76 64</t>
  </si>
  <si>
    <t>Компенсация</t>
  </si>
  <si>
    <t>Получение телефона</t>
  </si>
  <si>
    <t>Долгошей Дмитрий Геннадьевич</t>
  </si>
  <si>
    <t>за мобильный телефон</t>
  </si>
  <si>
    <t>980 476 44 36</t>
  </si>
  <si>
    <t>Дежурный инженер</t>
  </si>
  <si>
    <t>350руб.</t>
  </si>
  <si>
    <t>980 476 47 23</t>
  </si>
  <si>
    <t>Интернет офис</t>
  </si>
  <si>
    <t>980 476 46 54</t>
  </si>
  <si>
    <t>150руб.</t>
  </si>
  <si>
    <t>S/n 36543/62TK16900</t>
  </si>
  <si>
    <t>980 476 46 69</t>
  </si>
  <si>
    <t>916 870 03 96</t>
  </si>
  <si>
    <t>S/n 36543/62TK16693</t>
  </si>
  <si>
    <t>980 476 46 80</t>
  </si>
  <si>
    <t>S/n 36543//62TK17151</t>
  </si>
  <si>
    <t>915 255 05 98</t>
  </si>
  <si>
    <t xml:space="preserve">     916 311 06 20</t>
  </si>
  <si>
    <t>S/n 36543/62TK17184      S/n 36543/62TK17572</t>
  </si>
  <si>
    <t xml:space="preserve">Тенибаев Сергей Александрович </t>
  </si>
  <si>
    <t>981 989 40 07</t>
  </si>
  <si>
    <t xml:space="preserve">Управляющий </t>
  </si>
  <si>
    <t>Суханова Анна Владиславовна</t>
  </si>
  <si>
    <t>Помощник управляющего</t>
  </si>
  <si>
    <t>Драчёв Дмитрий Юрьевич</t>
  </si>
  <si>
    <t>Курзенёв Денис Анатольевич</t>
  </si>
  <si>
    <t>S/n 36543/62TK17685   /n 36543/62TK176594   S/n 36543/62TK17476</t>
  </si>
  <si>
    <t>924 176 20 25</t>
  </si>
  <si>
    <t xml:space="preserve">Пахатуриди Иван Александрович </t>
  </si>
  <si>
    <t xml:space="preserve">980 476 45 89                             </t>
  </si>
  <si>
    <t xml:space="preserve">Дежурный электрик </t>
  </si>
  <si>
    <t xml:space="preserve">980 476 44 37                             </t>
  </si>
  <si>
    <t>пакет №2</t>
  </si>
  <si>
    <t xml:space="preserve">Алемасов Анатолий Александрович </t>
  </si>
  <si>
    <t>952 661 22 73</t>
  </si>
  <si>
    <t>980 476 44 36 раб. 963 160 62 02</t>
  </si>
  <si>
    <t xml:space="preserve">Клюшников Сергей Фёдорович </t>
  </si>
  <si>
    <t>918 000 24 14</t>
  </si>
  <si>
    <t>918 207 98 87</t>
  </si>
  <si>
    <t xml:space="preserve">Земляков Данил Витальевич </t>
  </si>
  <si>
    <t>Шеркунов Михаил Николаевич</t>
  </si>
  <si>
    <t>928 851 23 11</t>
  </si>
  <si>
    <t xml:space="preserve">Дюжев Денис Владимирович </t>
  </si>
  <si>
    <t>908 308 56 73</t>
  </si>
  <si>
    <t>Проживает в корп. 2.4</t>
  </si>
  <si>
    <t>Дорофеев Евгений Владимирович</t>
  </si>
  <si>
    <t>902 186 13 10</t>
  </si>
  <si>
    <t>Никульшин Андрей Васильевич</t>
  </si>
  <si>
    <t>901 150 74 50</t>
  </si>
  <si>
    <t>918 002 93 98</t>
  </si>
  <si>
    <t>Ведущий инженер</t>
  </si>
  <si>
    <t xml:space="preserve">Проживает в корп. 2.4 </t>
  </si>
  <si>
    <t>Худынцева Елена Анатольевна</t>
  </si>
  <si>
    <t xml:space="preserve">Бочаров Евгений Сергеевич </t>
  </si>
  <si>
    <t>918 006 82 88</t>
  </si>
  <si>
    <t>Дежурный техник по эксплуатации (Электрик)</t>
  </si>
  <si>
    <t>Дежурный техник по эксплуатации (Сантехник)</t>
  </si>
  <si>
    <t>Дежурный техник по эксплуатации (Общестрой)</t>
  </si>
  <si>
    <t>Дежурный техник по эксплуатации(Общестрой)</t>
  </si>
  <si>
    <t xml:space="preserve">Казак Богдан Вячеславович </t>
  </si>
  <si>
    <t>938 451 55 06</t>
  </si>
  <si>
    <t>928 854 64 68</t>
  </si>
  <si>
    <t xml:space="preserve">Хомяков Сергей Андреевич </t>
  </si>
  <si>
    <t>Бадртдинов Рамиль Рафинатович</t>
  </si>
  <si>
    <t>927 242 50 65</t>
  </si>
  <si>
    <t>999 562 37 62</t>
  </si>
  <si>
    <t>О</t>
  </si>
  <si>
    <t xml:space="preserve"> </t>
  </si>
  <si>
    <t>904 581 56 28</t>
  </si>
  <si>
    <t>Марков Альберт Олегович</t>
  </si>
  <si>
    <t>Чилимов Антон Викторович</t>
  </si>
  <si>
    <t>У</t>
  </si>
  <si>
    <t>Штукатур-маляр 13 вакансий 5/2 ( не хватает 4)</t>
  </si>
  <si>
    <t>№ п\п</t>
  </si>
  <si>
    <t>Табель учета рабочего времени в период с :</t>
  </si>
  <si>
    <t>01.07.2025 по 31.07.2025</t>
  </si>
  <si>
    <t>Наименование предприятия:</t>
  </si>
  <si>
    <t>ООО "МД"</t>
  </si>
  <si>
    <t>Наименование  подразделения:</t>
  </si>
  <si>
    <t>Отдел по эксплуатации территории</t>
  </si>
  <si>
    <t>Ф.И.О.</t>
  </si>
  <si>
    <t>вт</t>
  </si>
  <si>
    <t>ср</t>
  </si>
  <si>
    <t>чт</t>
  </si>
  <si>
    <t>пт</t>
  </si>
  <si>
    <t>сб</t>
  </si>
  <si>
    <t>вс</t>
  </si>
  <si>
    <t>пн</t>
  </si>
  <si>
    <t>часов</t>
  </si>
  <si>
    <t>дней</t>
  </si>
  <si>
    <t>о</t>
  </si>
  <si>
    <t>замещение/оплата в одинарном</t>
  </si>
  <si>
    <t>до</t>
  </si>
  <si>
    <t>отпуск без оплаты</t>
  </si>
  <si>
    <t>оплачиваемый отпуск</t>
  </si>
  <si>
    <t>н</t>
  </si>
  <si>
    <t>неявка</t>
  </si>
  <si>
    <t>б</t>
  </si>
  <si>
    <t>больничный</t>
  </si>
  <si>
    <t>внеплановые работы, оплата в двойном</t>
  </si>
  <si>
    <t>самоизоляция</t>
  </si>
  <si>
    <t>ов</t>
  </si>
  <si>
    <t>оплачиваемый выходной</t>
  </si>
  <si>
    <t>Должность</t>
  </si>
  <si>
    <t>Телефон</t>
  </si>
  <si>
    <t>График</t>
  </si>
  <si>
    <t>Отработано</t>
  </si>
  <si>
    <t>Общестроительный отдел</t>
  </si>
  <si>
    <t>Подтверждение выхода</t>
  </si>
  <si>
    <t>8/11/24</t>
  </si>
  <si>
    <t>Отдел ВиК</t>
  </si>
  <si>
    <t>Отдел отопления и водоснабжения</t>
  </si>
  <si>
    <t>Отдел электрических сетей и оборудования</t>
  </si>
  <si>
    <t>Отдел КИПиА</t>
  </si>
  <si>
    <t>Дежурная (аварийная) служба</t>
  </si>
  <si>
    <t xml:space="preserve">Болотин Артем Викторович </t>
  </si>
  <si>
    <t>995 852 47 67</t>
  </si>
  <si>
    <t>Дирекция</t>
  </si>
  <si>
    <t>НН</t>
  </si>
  <si>
    <t>01.08.2025 по 31.08.2025</t>
  </si>
  <si>
    <t xml:space="preserve">Литвинов Илья Владимирович </t>
  </si>
  <si>
    <t>999 632 09 87</t>
  </si>
  <si>
    <t xml:space="preserve">Клюшников Сергей Федорович </t>
  </si>
  <si>
    <t>Плиточник 2 вакансии 5/2 ( не хватает 1)</t>
  </si>
  <si>
    <t>Техник ВиК 7 вакансий 2/2 (не хватает 3 техника)</t>
  </si>
  <si>
    <t>Техник по обслуживанию зданий 10 вакансий 2/2 ( не хватает 6)</t>
  </si>
  <si>
    <t>Буряк Александр Михайлович</t>
  </si>
  <si>
    <t>Дежурный техник по эксплуатации</t>
  </si>
  <si>
    <t>953 092 57 07</t>
  </si>
  <si>
    <t xml:space="preserve">Буряк Александр Михайлович </t>
  </si>
  <si>
    <t>Бейлис Андрей Александрович</t>
  </si>
  <si>
    <t>Специалист по эксплуатации электрических сетей и оборудования 7 вакансий 2/2 ( не хватает 2)</t>
  </si>
  <si>
    <t>950 633 46 66</t>
  </si>
  <si>
    <t xml:space="preserve">Гроза Роман Владимирович </t>
  </si>
  <si>
    <t>999 655 60 45</t>
  </si>
  <si>
    <t>Ситников Максим Валерьевич</t>
  </si>
  <si>
    <t>982 198 40 80</t>
  </si>
  <si>
    <t>01.09.2025 по 30.09.2025</t>
  </si>
  <si>
    <t>Техник ВиК 7 вакансий 2/2 (не хватает 2 техника)</t>
  </si>
  <si>
    <t xml:space="preserve">Тыликов Виталий Валерьевич </t>
  </si>
  <si>
    <t xml:space="preserve">Тыликова Ольга Сергеевна </t>
  </si>
  <si>
    <t>999 725 57 96</t>
  </si>
  <si>
    <t>903 347 41 54</t>
  </si>
  <si>
    <t>у</t>
  </si>
  <si>
    <t>Специалист по эксплуатации электрических сетей и оборудования 7 вакансий 2/2 ( не хватает 3)</t>
  </si>
  <si>
    <t>Багарский Ярослав Валерьевич</t>
  </si>
  <si>
    <t>930 225 57 02</t>
  </si>
  <si>
    <t>Техник по обслуживанию зданий 10 вакансий 2/2 ( не хватает 5)</t>
  </si>
  <si>
    <t>Усков Михаил Владимирович</t>
  </si>
  <si>
    <t>Клюшников Сергей Фёдорович</t>
  </si>
  <si>
    <t>Можаров Алексей Юрьевич</t>
  </si>
  <si>
    <t>Миниханов Максим Борисович</t>
  </si>
  <si>
    <t>Савельев Сергей Иванович</t>
  </si>
  <si>
    <t>Коржов Андрей Николаевич</t>
  </si>
  <si>
    <t>Ободов Виктор Васильевич</t>
  </si>
  <si>
    <t>Игонин Артём Валерьевич</t>
  </si>
  <si>
    <t>Руководитель эксплуатации объекта</t>
  </si>
  <si>
    <t>Главный инженер</t>
  </si>
  <si>
    <t>Ведущий инженер по АСУТП 1/4 ставки (2часа в день)</t>
  </si>
  <si>
    <t>Дежурный специалист по сантехническому оборудованию</t>
  </si>
  <si>
    <t>Дежурный специалист-электрик</t>
  </si>
  <si>
    <t>8-938-888-61-79</t>
  </si>
  <si>
    <t>8-918-600-02-47</t>
  </si>
  <si>
    <t>8-918-185-40-07</t>
  </si>
  <si>
    <t>8-919-397-53-27</t>
  </si>
  <si>
    <t>8-988-990-90-58</t>
  </si>
  <si>
    <t>8-918-000-24-14</t>
  </si>
  <si>
    <t>8-988-169-51-06</t>
  </si>
  <si>
    <t>8 900 250 92 80</t>
  </si>
  <si>
    <t>8-938-872-12-12</t>
  </si>
  <si>
    <t>8-918-303-45-91</t>
  </si>
  <si>
    <t>8-928-433-34-20</t>
  </si>
  <si>
    <t>8-988-189-43-40</t>
  </si>
  <si>
    <t>8-928-850-60-87</t>
  </si>
  <si>
    <t>Производственный отдел</t>
  </si>
  <si>
    <t>Специалист КИПиА</t>
  </si>
  <si>
    <t>Песоцкий Николай Александрович</t>
  </si>
  <si>
    <t>8-938-444-23-79</t>
  </si>
  <si>
    <t>Багдасаров Владимир Владимирович</t>
  </si>
  <si>
    <t>8-938-472-52-81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</si>
</sst>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16" x14ac:knownFonts="1">
    <font>
      <sz val="11"/>
      <color theme="1"/>
      <name val="Calibri"/>
      <family val="2"/>
      <charset val="204"/>
      <scheme val="minor"/>
    </font>
    <font>
      <sz val="9"/>
      <color theme="1"/>
      <name val="Verdana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sz val="11"/>
      <name val="Arial"/>
      <family val="2"/>
      <charset val="204"/>
    </font>
    <font>
      <b/>
      <sz val="8"/>
      <color theme="1"/>
      <name val="Arial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4BD97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rgb="FFC4BD97"/>
      </patternFill>
    </fill>
    <fill>
      <patternFill patternType="solid">
        <fgColor rgb="FFFF0000"/>
        <bgColor rgb="FFC4BD97"/>
      </patternFill>
    </fill>
    <fill>
      <patternFill patternType="solid">
        <fgColor theme="9" tint="0.59999389629810485"/>
        <bgColor rgb="FFE6B8B7"/>
      </patternFill>
    </fill>
    <fill>
      <patternFill patternType="solid">
        <fgColor theme="8"/>
        <bgColor rgb="FFE6B8B7"/>
      </patternFill>
    </fill>
    <fill>
      <patternFill patternType="solid">
        <fgColor theme="0"/>
        <bgColor rgb="FFC5D9F1"/>
      </patternFill>
    </fill>
    <fill>
      <patternFill patternType="solid">
        <fgColor theme="0"/>
        <bgColor rgb="FFE6B8B7"/>
      </patternFill>
    </fill>
    <fill>
      <patternFill patternType="solid">
        <fgColor theme="0"/>
        <bgColor rgb="FFFCD5B4"/>
      </patternFill>
    </fill>
    <fill>
      <patternFill patternType="solid">
        <fgColor theme="9" tint="0.59999389629810485"/>
        <bgColor rgb="FFFCD5B4"/>
      </patternFill>
    </fill>
    <fill>
      <patternFill patternType="solid">
        <fgColor theme="9"/>
        <bgColor rgb="FFFCD5B4"/>
      </patternFill>
    </fill>
    <fill>
      <patternFill patternType="solid">
        <fgColor rgb="FF5B9BD5"/>
        <bgColor indexed="64"/>
      </patternFill>
    </fill>
    <fill>
      <patternFill patternType="solid">
        <fgColor rgb="FF5B9BD5"/>
        <bgColor rgb="FFFCD5B4"/>
      </patternFill>
    </fill>
    <fill>
      <patternFill patternType="solid">
        <fgColor rgb="FF5B9BD5"/>
        <bgColor rgb="FFE6B8B7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rgb="FFFCD5B4"/>
      </patternFill>
    </fill>
    <fill>
      <patternFill patternType="solid">
        <fgColor rgb="FFD9D9D9"/>
        <bgColor rgb="FFFFFFFF"/>
      </patternFill>
    </fill>
    <fill>
      <patternFill patternType="solid">
        <fgColor rgb="FFFF0000"/>
        <bgColor rgb="FFE6B8B7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CD5B4"/>
      </patternFill>
    </fill>
    <fill>
      <patternFill patternType="solid">
        <fgColor rgb="FF5B9BD5"/>
        <bgColor rgb="FFC4BD97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rgb="FFE6B8B7"/>
      </patternFill>
    </fill>
    <fill>
      <patternFill patternType="solid">
        <fgColor rgb="FFC000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01">
    <xf numFmtId="0" fontId="0" fillId="0" borderId="0" xfId="0"/>
    <xf numFmtId="0" fontId="0" fillId="0" borderId="0" xfId="0" applyAlignment="1">
      <alignment wrapText="1"/>
    </xf>
    <xf numFmtId="0" fontId="0" fillId="0" borderId="8" xfId="0" applyBorder="1"/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0" fillId="1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5" fillId="8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3" fillId="9" borderId="22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 wrapText="1"/>
    </xf>
    <xf numFmtId="0" fontId="3" fillId="9" borderId="19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2" fillId="0" borderId="0" xfId="0" applyFont="1"/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12" fillId="18" borderId="11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8" fillId="18" borderId="11" xfId="0" applyFont="1" applyFill="1" applyBorder="1" applyAlignment="1">
      <alignment horizontal="center" vertical="center"/>
    </xf>
    <xf numFmtId="0" fontId="8" fillId="18" borderId="45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1" fillId="0" borderId="50" xfId="0" applyFont="1" applyBorder="1" applyAlignment="1">
      <alignment horizontal="center" vertical="center"/>
    </xf>
    <xf numFmtId="0" fontId="8" fillId="18" borderId="31" xfId="0" applyFont="1" applyFill="1" applyBorder="1" applyAlignment="1">
      <alignment horizontal="center" vertical="center"/>
    </xf>
    <xf numFmtId="0" fontId="8" fillId="18" borderId="27" xfId="0" applyFont="1" applyFill="1" applyBorder="1" applyAlignment="1">
      <alignment horizontal="center" vertical="center"/>
    </xf>
    <xf numFmtId="0" fontId="8" fillId="18" borderId="28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3" fontId="2" fillId="0" borderId="19" xfId="0" applyNumberFormat="1" applyFont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8" fillId="18" borderId="54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8" fillId="25" borderId="22" xfId="0" applyFont="1" applyFill="1" applyBorder="1" applyAlignment="1">
      <alignment horizontal="center" vertical="center" wrapText="1"/>
    </xf>
    <xf numFmtId="0" fontId="2" fillId="24" borderId="14" xfId="0" applyFont="1" applyFill="1" applyBorder="1" applyAlignment="1">
      <alignment horizontal="left" vertical="center" wrapText="1"/>
    </xf>
    <xf numFmtId="0" fontId="3" fillId="25" borderId="14" xfId="0" applyFont="1" applyFill="1" applyBorder="1" applyAlignment="1">
      <alignment horizontal="center" vertical="center" wrapText="1"/>
    </xf>
    <xf numFmtId="0" fontId="2" fillId="25" borderId="15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2" fillId="25" borderId="7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left" vertical="center" wrapText="1"/>
    </xf>
    <xf numFmtId="0" fontId="3" fillId="25" borderId="4" xfId="0" applyFont="1" applyFill="1" applyBorder="1" applyAlignment="1">
      <alignment horizontal="center" vertical="center"/>
    </xf>
    <xf numFmtId="0" fontId="2" fillId="25" borderId="17" xfId="0" applyFont="1" applyFill="1" applyBorder="1" applyAlignment="1">
      <alignment horizontal="center" vertical="center"/>
    </xf>
    <xf numFmtId="0" fontId="3" fillId="25" borderId="7" xfId="0" applyFont="1" applyFill="1" applyBorder="1" applyAlignment="1">
      <alignment horizontal="center" vertical="center"/>
    </xf>
    <xf numFmtId="0" fontId="3" fillId="25" borderId="18" xfId="0" applyFont="1" applyFill="1" applyBorder="1" applyAlignment="1">
      <alignment horizontal="center" vertical="center"/>
    </xf>
    <xf numFmtId="0" fontId="3" fillId="25" borderId="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5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2" fillId="26" borderId="7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left" vertical="center"/>
    </xf>
    <xf numFmtId="0" fontId="3" fillId="26" borderId="4" xfId="0" applyFont="1" applyFill="1" applyBorder="1" applyAlignment="1">
      <alignment horizontal="center" vertical="center"/>
    </xf>
    <xf numFmtId="0" fontId="2" fillId="26" borderId="17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left" vertical="center" wrapText="1"/>
    </xf>
    <xf numFmtId="0" fontId="3" fillId="26" borderId="13" xfId="0" applyFont="1" applyFill="1" applyBorder="1" applyAlignment="1">
      <alignment horizontal="center" vertical="center"/>
    </xf>
    <xf numFmtId="0" fontId="3" fillId="26" borderId="9" xfId="0" applyFont="1" applyFill="1" applyBorder="1" applyAlignment="1">
      <alignment horizontal="center" vertical="center"/>
    </xf>
    <xf numFmtId="0" fontId="3" fillId="26" borderId="7" xfId="0" applyFont="1" applyFill="1" applyBorder="1" applyAlignment="1">
      <alignment horizontal="center" vertical="center"/>
    </xf>
    <xf numFmtId="0" fontId="3" fillId="26" borderId="19" xfId="0" applyFont="1" applyFill="1" applyBorder="1" applyAlignment="1">
      <alignment horizontal="center" vertical="center"/>
    </xf>
    <xf numFmtId="0" fontId="8" fillId="24" borderId="13" xfId="0" applyFont="1" applyFill="1" applyBorder="1" applyAlignment="1">
      <alignment horizontal="center" vertical="center" wrapText="1"/>
    </xf>
    <xf numFmtId="0" fontId="3" fillId="24" borderId="9" xfId="0" applyFont="1" applyFill="1" applyBorder="1" applyAlignment="1">
      <alignment horizontal="center" vertical="center" wrapText="1"/>
    </xf>
    <xf numFmtId="0" fontId="2" fillId="24" borderId="21" xfId="0" applyFont="1" applyFill="1" applyBorder="1" applyAlignment="1">
      <alignment horizontal="center" vertical="center"/>
    </xf>
    <xf numFmtId="0" fontId="2" fillId="24" borderId="7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left" vertical="center"/>
    </xf>
    <xf numFmtId="0" fontId="3" fillId="24" borderId="4" xfId="0" applyFont="1" applyFill="1" applyBorder="1" applyAlignment="1">
      <alignment horizontal="center" vertical="center"/>
    </xf>
    <xf numFmtId="0" fontId="2" fillId="24" borderId="17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3" fillId="27" borderId="9" xfId="0" applyFont="1" applyFill="1" applyBorder="1" applyAlignment="1">
      <alignment horizontal="center" vertical="center"/>
    </xf>
    <xf numFmtId="0" fontId="3" fillId="27" borderId="4" xfId="0" applyFont="1" applyFill="1" applyBorder="1" applyAlignment="1">
      <alignment horizontal="center" vertical="center"/>
    </xf>
    <xf numFmtId="0" fontId="2" fillId="25" borderId="23" xfId="0" applyFont="1" applyFill="1" applyBorder="1" applyAlignment="1">
      <alignment horizontal="center" vertical="center"/>
    </xf>
    <xf numFmtId="0" fontId="2" fillId="26" borderId="18" xfId="0" applyFont="1" applyFill="1" applyBorder="1" applyAlignment="1">
      <alignment horizontal="center" vertical="center" wrapText="1"/>
    </xf>
    <xf numFmtId="0" fontId="2" fillId="26" borderId="19" xfId="0" applyFont="1" applyFill="1" applyBorder="1" applyAlignment="1">
      <alignment horizontal="left" vertical="center" wrapText="1"/>
    </xf>
    <xf numFmtId="0" fontId="2" fillId="26" borderId="23" xfId="0" applyFont="1" applyFill="1" applyBorder="1" applyAlignment="1">
      <alignment horizontal="center" vertical="center"/>
    </xf>
    <xf numFmtId="0" fontId="8" fillId="18" borderId="35" xfId="0" applyFont="1" applyFill="1" applyBorder="1" applyAlignment="1">
      <alignment horizontal="center" vertical="center"/>
    </xf>
    <xf numFmtId="0" fontId="8" fillId="26" borderId="13" xfId="0" applyFont="1" applyFill="1" applyBorder="1" applyAlignment="1">
      <alignment horizontal="center" vertical="center" wrapText="1"/>
    </xf>
    <xf numFmtId="0" fontId="3" fillId="26" borderId="9" xfId="0" applyFont="1" applyFill="1" applyBorder="1" applyAlignment="1">
      <alignment horizontal="center" vertical="center" wrapText="1"/>
    </xf>
    <xf numFmtId="0" fontId="2" fillId="26" borderId="21" xfId="0" applyFont="1" applyFill="1" applyBorder="1" applyAlignment="1">
      <alignment horizontal="center" vertical="center"/>
    </xf>
    <xf numFmtId="0" fontId="8" fillId="18" borderId="36" xfId="0" applyFont="1" applyFill="1" applyBorder="1" applyAlignment="1">
      <alignment horizontal="center" vertical="center"/>
    </xf>
    <xf numFmtId="0" fontId="8" fillId="18" borderId="55" xfId="0" applyFont="1" applyFill="1" applyBorder="1" applyAlignment="1">
      <alignment horizontal="center" vertical="center"/>
    </xf>
    <xf numFmtId="49" fontId="8" fillId="18" borderId="3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0" fillId="19" borderId="4" xfId="0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49" fontId="0" fillId="9" borderId="0" xfId="0" applyNumberFormat="1" applyFill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28" borderId="18" xfId="0" applyFont="1" applyFill="1" applyBorder="1" applyAlignment="1">
      <alignment horizontal="center" vertical="center"/>
    </xf>
    <xf numFmtId="0" fontId="3" fillId="28" borderId="19" xfId="0" applyFont="1" applyFill="1" applyBorder="1" applyAlignment="1">
      <alignment horizontal="center" vertical="center"/>
    </xf>
    <xf numFmtId="0" fontId="3" fillId="28" borderId="4" xfId="0" applyFont="1" applyFill="1" applyBorder="1" applyAlignment="1">
      <alignment horizontal="center" vertical="center"/>
    </xf>
    <xf numFmtId="0" fontId="3" fillId="28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6" fillId="0" borderId="0" xfId="0" applyNumberFormat="1" applyFont="1"/>
    <xf numFmtId="0" fontId="3" fillId="29" borderId="9" xfId="0" applyFont="1" applyFill="1" applyBorder="1" applyAlignment="1">
      <alignment horizontal="center" vertical="center"/>
    </xf>
    <xf numFmtId="0" fontId="3" fillId="30" borderId="9" xfId="0" applyFont="1" applyFill="1" applyBorder="1" applyAlignment="1">
      <alignment horizontal="center" vertical="center"/>
    </xf>
    <xf numFmtId="0" fontId="3" fillId="31" borderId="4" xfId="0" applyFont="1" applyFill="1" applyBorder="1" applyAlignment="1">
      <alignment horizontal="center" vertical="center"/>
    </xf>
    <xf numFmtId="0" fontId="3" fillId="32" borderId="9" xfId="0" applyFont="1" applyFill="1" applyBorder="1" applyAlignment="1">
      <alignment horizontal="center" vertical="center"/>
    </xf>
    <xf numFmtId="0" fontId="3" fillId="32" borderId="4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8" fillId="18" borderId="32" xfId="0" applyFont="1" applyFill="1" applyBorder="1" applyAlignment="1">
      <alignment horizontal="center" vertical="center"/>
    </xf>
    <xf numFmtId="0" fontId="3" fillId="6" borderId="5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8" fillId="18" borderId="2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8" fillId="18" borderId="27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9" borderId="58" xfId="0" applyFont="1" applyFill="1" applyBorder="1" applyAlignment="1">
      <alignment horizontal="center" vertical="center"/>
    </xf>
    <xf numFmtId="0" fontId="3" fillId="9" borderId="56" xfId="0" applyFont="1" applyFill="1" applyBorder="1" applyAlignment="1">
      <alignment horizontal="center" vertical="center"/>
    </xf>
    <xf numFmtId="0" fontId="3" fillId="11" borderId="56" xfId="0" applyFont="1" applyFill="1" applyBorder="1" applyAlignment="1">
      <alignment horizontal="center" vertical="center"/>
    </xf>
    <xf numFmtId="2" fontId="2" fillId="0" borderId="0" xfId="0" applyNumberFormat="1" applyFont="1"/>
    <xf numFmtId="0" fontId="8" fillId="34" borderId="32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center" vertical="center"/>
    </xf>
    <xf numFmtId="0" fontId="3" fillId="20" borderId="1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32" borderId="11" xfId="0" applyFont="1" applyFill="1" applyBorder="1" applyAlignment="1">
      <alignment horizontal="center" vertical="center"/>
    </xf>
    <xf numFmtId="0" fontId="12" fillId="32" borderId="4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2" borderId="14" xfId="0" applyFont="1" applyFill="1" applyBorder="1" applyAlignment="1">
      <alignment horizontal="center" vertical="center"/>
    </xf>
    <xf numFmtId="0" fontId="3" fillId="32" borderId="7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8" fillId="18" borderId="19" xfId="0" applyNumberFormat="1" applyFont="1" applyFill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32" borderId="4" xfId="0" applyNumberFormat="1" applyFont="1" applyFill="1" applyBorder="1" applyAlignment="1">
      <alignment horizontal="center" vertical="center"/>
    </xf>
    <xf numFmtId="164" fontId="3" fillId="6" borderId="9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164" fontId="8" fillId="18" borderId="4" xfId="0" applyNumberFormat="1" applyFont="1" applyFill="1" applyBorder="1" applyAlignment="1">
      <alignment horizontal="center" vertical="center"/>
    </xf>
    <xf numFmtId="0" fontId="3" fillId="35" borderId="4" xfId="0" applyFont="1" applyFill="1" applyBorder="1" applyAlignment="1">
      <alignment horizontal="center" vertical="center"/>
    </xf>
    <xf numFmtId="0" fontId="3" fillId="22" borderId="19" xfId="0" applyFont="1" applyFill="1" applyBorder="1" applyAlignment="1">
      <alignment horizontal="center" vertical="center"/>
    </xf>
    <xf numFmtId="0" fontId="3" fillId="27" borderId="19" xfId="0" applyFont="1" applyFill="1" applyBorder="1" applyAlignment="1">
      <alignment horizontal="center" vertical="center"/>
    </xf>
    <xf numFmtId="0" fontId="3" fillId="29" borderId="19" xfId="0" applyFont="1" applyFill="1" applyBorder="1" applyAlignment="1">
      <alignment horizontal="center" vertical="center"/>
    </xf>
    <xf numFmtId="0" fontId="3" fillId="36" borderId="18" xfId="0" applyFont="1" applyFill="1" applyBorder="1" applyAlignment="1">
      <alignment horizontal="center" vertical="center"/>
    </xf>
    <xf numFmtId="0" fontId="3" fillId="37" borderId="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32" borderId="19" xfId="0" applyFont="1" applyFill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0" fontId="3" fillId="32" borderId="18" xfId="0" applyFont="1" applyFill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/>
    </xf>
    <xf numFmtId="0" fontId="3" fillId="32" borderId="19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/>
    </xf>
    <xf numFmtId="164" fontId="7" fillId="0" borderId="56" xfId="0" applyNumberFormat="1" applyFont="1" applyBorder="1" applyAlignment="1">
      <alignment horizontal="center" vertical="center"/>
    </xf>
    <xf numFmtId="49" fontId="8" fillId="18" borderId="11" xfId="0" applyNumberFormat="1" applyFont="1" applyFill="1" applyBorder="1" applyAlignment="1">
      <alignment horizontal="center" vertical="center"/>
    </xf>
    <xf numFmtId="0" fontId="8" fillId="34" borderId="45" xfId="0" applyFont="1" applyFill="1" applyBorder="1" applyAlignment="1">
      <alignment horizontal="center" vertical="center"/>
    </xf>
    <xf numFmtId="164" fontId="3" fillId="6" borderId="19" xfId="0" applyNumberFormat="1" applyFont="1" applyFill="1" applyBorder="1" applyAlignment="1">
      <alignment horizontal="center" vertical="center"/>
    </xf>
    <xf numFmtId="0" fontId="8" fillId="25" borderId="13" xfId="0" applyFont="1" applyFill="1" applyBorder="1" applyAlignment="1">
      <alignment horizontal="center" vertical="center" wrapText="1"/>
    </xf>
    <xf numFmtId="0" fontId="3" fillId="25" borderId="9" xfId="0" applyFont="1" applyFill="1" applyBorder="1" applyAlignment="1">
      <alignment horizontal="center" vertical="center" wrapText="1"/>
    </xf>
    <xf numFmtId="0" fontId="2" fillId="25" borderId="21" xfId="0" applyFont="1" applyFill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 wrapText="1"/>
    </xf>
    <xf numFmtId="0" fontId="2" fillId="24" borderId="19" xfId="0" applyFont="1" applyFill="1" applyBorder="1" applyAlignment="1">
      <alignment horizontal="left" vertical="center" wrapText="1"/>
    </xf>
    <xf numFmtId="0" fontId="3" fillId="24" borderId="19" xfId="0" applyFont="1" applyFill="1" applyBorder="1" applyAlignment="1">
      <alignment horizontal="center" vertical="center"/>
    </xf>
    <xf numFmtId="0" fontId="2" fillId="24" borderId="23" xfId="0" applyFont="1" applyFill="1" applyBorder="1" applyAlignment="1">
      <alignment horizontal="center" vertical="center"/>
    </xf>
    <xf numFmtId="49" fontId="8" fillId="18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0" fillId="9" borderId="4" xfId="0" applyNumberFormat="1" applyFill="1" applyBorder="1" applyAlignment="1">
      <alignment horizontal="center" vertical="center"/>
    </xf>
    <xf numFmtId="164" fontId="7" fillId="32" borderId="59" xfId="0" applyNumberFormat="1" applyFont="1" applyFill="1" applyBorder="1" applyAlignment="1">
      <alignment horizontal="center" vertical="center"/>
    </xf>
    <xf numFmtId="164" fontId="8" fillId="18" borderId="59" xfId="0" applyNumberFormat="1" applyFont="1" applyFill="1" applyBorder="1" applyAlignment="1">
      <alignment horizontal="center" vertical="center"/>
    </xf>
    <xf numFmtId="0" fontId="2" fillId="25" borderId="13" xfId="0" applyFont="1" applyFill="1" applyBorder="1" applyAlignment="1">
      <alignment horizontal="center" vertical="center" wrapText="1"/>
    </xf>
    <xf numFmtId="0" fontId="3" fillId="38" borderId="9" xfId="0" applyFont="1" applyFill="1" applyBorder="1" applyAlignment="1">
      <alignment horizontal="center" vertical="center"/>
    </xf>
    <xf numFmtId="0" fontId="3" fillId="36" borderId="4" xfId="0" applyFont="1" applyFill="1" applyBorder="1" applyAlignment="1">
      <alignment horizontal="center" vertical="center"/>
    </xf>
    <xf numFmtId="0" fontId="0" fillId="39" borderId="4" xfId="0" applyFill="1" applyBorder="1" applyAlignment="1">
      <alignment horizontal="center" vertical="center"/>
    </xf>
    <xf numFmtId="0" fontId="3" fillId="39" borderId="4" xfId="0" applyFont="1" applyFill="1" applyBorder="1" applyAlignment="1">
      <alignment horizontal="center" vertical="center"/>
    </xf>
    <xf numFmtId="0" fontId="3" fillId="36" borderId="19" xfId="0" applyFont="1" applyFill="1" applyBorder="1" applyAlignment="1">
      <alignment horizontal="center" vertical="center"/>
    </xf>
    <xf numFmtId="0" fontId="3" fillId="36" borderId="9" xfId="0" applyFont="1" applyFill="1" applyBorder="1" applyAlignment="1">
      <alignment horizontal="center" vertical="center"/>
    </xf>
    <xf numFmtId="0" fontId="3" fillId="39" borderId="9" xfId="0" applyFont="1" applyFill="1" applyBorder="1" applyAlignment="1">
      <alignment horizontal="center" vertical="center"/>
    </xf>
    <xf numFmtId="0" fontId="3" fillId="27" borderId="49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3" fillId="27" borderId="48" xfId="0" applyFont="1" applyFill="1" applyBorder="1" applyAlignment="1">
      <alignment horizontal="center" vertical="center"/>
    </xf>
    <xf numFmtId="0" fontId="3" fillId="9" borderId="47" xfId="0" applyFont="1" applyFill="1" applyBorder="1" applyAlignment="1">
      <alignment horizontal="center" vertical="center"/>
    </xf>
    <xf numFmtId="0" fontId="3" fillId="9" borderId="48" xfId="0" applyFont="1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/>
    </xf>
    <xf numFmtId="0" fontId="3" fillId="40" borderId="58" xfId="0" applyFont="1" applyFill="1" applyBorder="1" applyAlignment="1">
      <alignment horizontal="center" vertical="center"/>
    </xf>
    <xf numFmtId="0" fontId="3" fillId="40" borderId="18" xfId="0" applyFont="1" applyFill="1" applyBorder="1" applyAlignment="1">
      <alignment horizontal="center" vertical="center"/>
    </xf>
    <xf numFmtId="0" fontId="3" fillId="40" borderId="14" xfId="0" applyFont="1" applyFill="1" applyBorder="1" applyAlignment="1">
      <alignment horizontal="center" vertical="center"/>
    </xf>
    <xf numFmtId="0" fontId="3" fillId="40" borderId="9" xfId="0" applyFont="1" applyFill="1" applyBorder="1" applyAlignment="1">
      <alignment horizontal="center" vertical="center"/>
    </xf>
    <xf numFmtId="0" fontId="3" fillId="40" borderId="7" xfId="0" applyFont="1" applyFill="1" applyBorder="1" applyAlignment="1">
      <alignment horizontal="center" vertical="center"/>
    </xf>
    <xf numFmtId="0" fontId="3" fillId="40" borderId="4" xfId="0" applyFont="1" applyFill="1" applyBorder="1" applyAlignment="1">
      <alignment horizontal="center" vertical="center"/>
    </xf>
    <xf numFmtId="0" fontId="3" fillId="41" borderId="4" xfId="0" applyFont="1" applyFill="1" applyBorder="1" applyAlignment="1">
      <alignment horizontal="center" vertical="center"/>
    </xf>
    <xf numFmtId="0" fontId="3" fillId="36" borderId="7" xfId="0" applyFont="1" applyFill="1" applyBorder="1" applyAlignment="1">
      <alignment horizontal="center" vertical="center"/>
    </xf>
    <xf numFmtId="0" fontId="3" fillId="29" borderId="7" xfId="0" applyFont="1" applyFill="1" applyBorder="1" applyAlignment="1">
      <alignment horizontal="center" vertical="center"/>
    </xf>
    <xf numFmtId="0" fontId="3" fillId="29" borderId="14" xfId="0" applyFont="1" applyFill="1" applyBorder="1" applyAlignment="1">
      <alignment horizontal="center" vertical="center"/>
    </xf>
    <xf numFmtId="164" fontId="7" fillId="0" borderId="59" xfId="0" applyNumberFormat="1" applyFont="1" applyBorder="1" applyAlignment="1">
      <alignment horizontal="center" vertical="center"/>
    </xf>
    <xf numFmtId="164" fontId="0" fillId="0" borderId="0" xfId="0" applyNumberFormat="1"/>
    <xf numFmtId="164" fontId="7" fillId="0" borderId="59" xfId="0" applyNumberFormat="1" applyFont="1" applyBorder="1" applyAlignment="1">
      <alignment horizontal="center" vertical="center" wrapText="1"/>
    </xf>
    <xf numFmtId="2" fontId="7" fillId="18" borderId="59" xfId="0" applyNumberFormat="1" applyFont="1" applyFill="1" applyBorder="1" applyAlignment="1">
      <alignment horizontal="center" vertical="center"/>
    </xf>
    <xf numFmtId="164" fontId="7" fillId="18" borderId="59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40" borderId="17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58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 wrapText="1"/>
    </xf>
    <xf numFmtId="0" fontId="3" fillId="39" borderId="18" xfId="0" applyFont="1" applyFill="1" applyBorder="1" applyAlignment="1">
      <alignment horizontal="center" vertical="center"/>
    </xf>
    <xf numFmtId="0" fontId="3" fillId="42" borderId="4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15" fillId="8" borderId="0" xfId="0" applyFont="1" applyFill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 wrapText="1"/>
    </xf>
    <xf numFmtId="0" fontId="2" fillId="26" borderId="19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 wrapText="1"/>
    </xf>
    <xf numFmtId="0" fontId="2" fillId="24" borderId="19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right" vertical="center" wrapText="1"/>
    </xf>
    <xf numFmtId="0" fontId="12" fillId="3" borderId="40" xfId="0" applyFont="1" applyFill="1" applyBorder="1" applyAlignment="1">
      <alignment horizontal="right" vertical="center" wrapText="1"/>
    </xf>
    <xf numFmtId="0" fontId="12" fillId="3" borderId="41" xfId="0" applyFont="1" applyFill="1" applyBorder="1" applyAlignment="1">
      <alignment horizontal="right" vertical="center" wrapText="1"/>
    </xf>
    <xf numFmtId="0" fontId="9" fillId="0" borderId="4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2" fillId="0" borderId="42" xfId="0" applyFont="1" applyBorder="1" applyAlignment="1">
      <alignment horizontal="right" vertical="center" wrapText="1"/>
    </xf>
    <xf numFmtId="0" fontId="12" fillId="0" borderId="40" xfId="0" applyFont="1" applyBorder="1" applyAlignment="1">
      <alignment horizontal="right" vertical="center" wrapText="1"/>
    </xf>
    <xf numFmtId="0" fontId="9" fillId="0" borderId="3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5" borderId="42" xfId="0" applyFont="1" applyFill="1" applyBorder="1" applyAlignment="1">
      <alignment horizontal="right" vertical="center" wrapText="1"/>
    </xf>
    <xf numFmtId="0" fontId="12" fillId="5" borderId="40" xfId="0" applyFont="1" applyFill="1" applyBorder="1" applyAlignment="1">
      <alignment horizontal="right" vertical="center" wrapText="1"/>
    </xf>
    <xf numFmtId="0" fontId="12" fillId="5" borderId="4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right" vertical="center" wrapText="1"/>
    </xf>
    <xf numFmtId="0" fontId="12" fillId="3" borderId="2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2" xfId="0" applyFont="1" applyFill="1" applyBorder="1" applyAlignment="1">
      <alignment horizontal="right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2" xfId="0" applyFont="1" applyFill="1" applyBorder="1" applyAlignment="1">
      <alignment horizontal="right" vertical="center" wrapText="1"/>
    </xf>
    <xf numFmtId="0" fontId="12" fillId="5" borderId="3" xfId="0" applyFont="1" applyFill="1" applyBorder="1" applyAlignment="1">
      <alignment horizontal="right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000"/>
      <color rgb="FF70AD47"/>
      <color rgb="FF5B9BD5"/>
      <color rgb="FFED7D31"/>
      <color rgb="FFE6B8B7"/>
      <color rgb="FFD9D9D9"/>
      <color rgb="FFC5D9F1"/>
      <color rgb="FFFCD5B4"/>
      <color rgb="FFC4BD97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R120"/>
  <sheetViews>
    <sheetView zoomScale="59" zoomScaleNormal="59" workbookViewId="0">
      <pane ySplit="5" topLeftCell="A6" activePane="bottomLeft" state="frozen"/>
      <selection pane="bottomLeft" activeCell="C3" sqref="C3:F3"/>
    </sheetView>
  </sheetViews>
  <sheetFormatPr defaultRowHeight="15" x14ac:dyDescent="0.25"/>
  <cols>
    <col min="1" max="1" width="12" bestFit="1" customWidth="1"/>
    <col min="2" max="2" width="39.5703125" customWidth="1"/>
    <col min="3" max="3" width="45.140625" customWidth="1"/>
    <col min="4" max="4" width="20.140625" customWidth="1"/>
    <col min="5" max="5" width="11.7109375" customWidth="1"/>
    <col min="6" max="6" width="4.85546875" customWidth="1"/>
    <col min="7" max="36" width="4.7109375" customWidth="1"/>
    <col min="37" max="37" width="8.28515625" customWidth="1"/>
    <col min="38" max="38" width="13.140625" customWidth="1"/>
    <col min="39" max="39" width="18.85546875" customWidth="1"/>
    <col min="40" max="40" width="34" customWidth="1"/>
    <col min="41" max="41" width="40.28515625" customWidth="1"/>
  </cols>
  <sheetData>
    <row r="1" spans="1:44" ht="36" customHeight="1" x14ac:dyDescent="0.25">
      <c r="B1" s="53" t="s">
        <v>154</v>
      </c>
      <c r="C1" s="358" t="s">
        <v>155</v>
      </c>
      <c r="D1" s="358"/>
      <c r="E1" s="358"/>
      <c r="F1" s="358"/>
    </row>
    <row r="2" spans="1:44" ht="36.75" customHeight="1" x14ac:dyDescent="0.25">
      <c r="B2" s="53" t="s">
        <v>156</v>
      </c>
      <c r="C2" s="359" t="s">
        <v>157</v>
      </c>
      <c r="D2" s="359"/>
      <c r="E2" s="359"/>
      <c r="F2" s="359"/>
    </row>
    <row r="3" spans="1:44" ht="37.5" customHeight="1" thickBot="1" x14ac:dyDescent="0.3">
      <c r="B3" s="53" t="s">
        <v>158</v>
      </c>
      <c r="C3" s="360" t="s">
        <v>159</v>
      </c>
      <c r="D3" s="360"/>
      <c r="E3" s="360"/>
      <c r="F3" s="360"/>
    </row>
    <row r="4" spans="1:44" ht="32.25" customHeight="1" thickBot="1" x14ac:dyDescent="0.3">
      <c r="A4" s="376" t="s">
        <v>153</v>
      </c>
      <c r="B4" s="361" t="s">
        <v>160</v>
      </c>
      <c r="C4" s="361" t="s">
        <v>183</v>
      </c>
      <c r="D4" s="361" t="s">
        <v>184</v>
      </c>
      <c r="E4" s="361" t="s">
        <v>185</v>
      </c>
      <c r="F4" s="54">
        <v>1</v>
      </c>
      <c r="G4" s="55">
        <v>2</v>
      </c>
      <c r="H4" s="55">
        <v>3</v>
      </c>
      <c r="I4" s="55">
        <v>4</v>
      </c>
      <c r="J4" s="62">
        <v>5</v>
      </c>
      <c r="K4" s="62">
        <v>6</v>
      </c>
      <c r="L4" s="55">
        <v>7</v>
      </c>
      <c r="M4" s="55">
        <v>8</v>
      </c>
      <c r="N4" s="55">
        <v>9</v>
      </c>
      <c r="O4" s="55">
        <v>10</v>
      </c>
      <c r="P4" s="55">
        <v>11</v>
      </c>
      <c r="Q4" s="62">
        <v>12</v>
      </c>
      <c r="R4" s="62">
        <v>13</v>
      </c>
      <c r="S4" s="55">
        <v>14</v>
      </c>
      <c r="T4" s="55">
        <v>15</v>
      </c>
      <c r="U4" s="55">
        <v>16</v>
      </c>
      <c r="V4" s="55">
        <v>17</v>
      </c>
      <c r="W4" s="55">
        <v>18</v>
      </c>
      <c r="X4" s="62">
        <v>19</v>
      </c>
      <c r="Y4" s="62">
        <v>20</v>
      </c>
      <c r="Z4" s="55">
        <v>21</v>
      </c>
      <c r="AA4" s="55">
        <v>22</v>
      </c>
      <c r="AB4" s="55">
        <v>23</v>
      </c>
      <c r="AC4" s="55">
        <v>24</v>
      </c>
      <c r="AD4" s="55">
        <v>25</v>
      </c>
      <c r="AE4" s="62">
        <v>26</v>
      </c>
      <c r="AF4" s="62">
        <v>27</v>
      </c>
      <c r="AG4" s="55">
        <v>28</v>
      </c>
      <c r="AH4" s="55">
        <v>29</v>
      </c>
      <c r="AI4" s="55">
        <v>30</v>
      </c>
      <c r="AJ4" s="58">
        <v>31</v>
      </c>
      <c r="AK4" s="363" t="s">
        <v>186</v>
      </c>
      <c r="AL4" s="364"/>
      <c r="AM4" s="202"/>
    </row>
    <row r="5" spans="1:44" ht="32.25" customHeight="1" thickBot="1" x14ac:dyDescent="0.3">
      <c r="A5" s="377"/>
      <c r="B5" s="362"/>
      <c r="C5" s="362"/>
      <c r="D5" s="362"/>
      <c r="E5" s="362"/>
      <c r="F5" s="56" t="s">
        <v>161</v>
      </c>
      <c r="G5" s="56" t="s">
        <v>162</v>
      </c>
      <c r="H5" s="56" t="s">
        <v>163</v>
      </c>
      <c r="I5" s="56" t="s">
        <v>164</v>
      </c>
      <c r="J5" s="57" t="s">
        <v>165</v>
      </c>
      <c r="K5" s="57" t="s">
        <v>166</v>
      </c>
      <c r="L5" s="56" t="s">
        <v>167</v>
      </c>
      <c r="M5" s="56" t="s">
        <v>161</v>
      </c>
      <c r="N5" s="56" t="s">
        <v>162</v>
      </c>
      <c r="O5" s="56" t="s">
        <v>163</v>
      </c>
      <c r="P5" s="56" t="s">
        <v>164</v>
      </c>
      <c r="Q5" s="57" t="s">
        <v>165</v>
      </c>
      <c r="R5" s="57" t="s">
        <v>166</v>
      </c>
      <c r="S5" s="56" t="s">
        <v>167</v>
      </c>
      <c r="T5" s="56" t="s">
        <v>161</v>
      </c>
      <c r="U5" s="56" t="s">
        <v>162</v>
      </c>
      <c r="V5" s="56" t="s">
        <v>163</v>
      </c>
      <c r="W5" s="56" t="s">
        <v>164</v>
      </c>
      <c r="X5" s="57" t="s">
        <v>165</v>
      </c>
      <c r="Y5" s="57" t="s">
        <v>166</v>
      </c>
      <c r="Z5" s="56" t="s">
        <v>167</v>
      </c>
      <c r="AA5" s="56" t="s">
        <v>161</v>
      </c>
      <c r="AB5" s="56" t="s">
        <v>162</v>
      </c>
      <c r="AC5" s="56" t="s">
        <v>163</v>
      </c>
      <c r="AD5" s="56" t="s">
        <v>164</v>
      </c>
      <c r="AE5" s="57" t="s">
        <v>165</v>
      </c>
      <c r="AF5" s="57" t="s">
        <v>166</v>
      </c>
      <c r="AG5" s="56" t="s">
        <v>167</v>
      </c>
      <c r="AH5" s="56" t="s">
        <v>161</v>
      </c>
      <c r="AI5" s="56" t="s">
        <v>162</v>
      </c>
      <c r="AJ5" s="59" t="s">
        <v>163</v>
      </c>
      <c r="AK5" s="76" t="s">
        <v>168</v>
      </c>
      <c r="AL5" s="77" t="s">
        <v>169</v>
      </c>
      <c r="AM5" s="203"/>
    </row>
    <row r="6" spans="1:44" ht="32.25" customHeight="1" thickBot="1" x14ac:dyDescent="0.3">
      <c r="A6" s="368" t="s">
        <v>197</v>
      </c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69"/>
      <c r="AA6" s="369"/>
      <c r="AB6" s="369"/>
      <c r="AC6" s="369"/>
      <c r="AD6" s="369"/>
      <c r="AE6" s="369"/>
      <c r="AF6" s="369"/>
      <c r="AG6" s="369"/>
      <c r="AH6" s="369"/>
      <c r="AI6" s="369"/>
      <c r="AJ6" s="369"/>
      <c r="AK6" s="369"/>
      <c r="AL6" s="370"/>
      <c r="AM6" s="204"/>
    </row>
    <row r="7" spans="1:44" ht="35.1" customHeight="1" x14ac:dyDescent="0.25">
      <c r="A7" s="50">
        <v>1</v>
      </c>
      <c r="B7" s="46" t="s">
        <v>0</v>
      </c>
      <c r="C7" s="39" t="s">
        <v>101</v>
      </c>
      <c r="D7" s="39" t="s">
        <v>1</v>
      </c>
      <c r="E7" s="72" t="s">
        <v>2</v>
      </c>
      <c r="F7" s="23">
        <v>8</v>
      </c>
      <c r="G7" s="24">
        <v>8</v>
      </c>
      <c r="H7" s="24">
        <v>8</v>
      </c>
      <c r="I7" s="24">
        <v>8</v>
      </c>
      <c r="J7" s="63"/>
      <c r="K7" s="63"/>
      <c r="L7" s="23">
        <v>8</v>
      </c>
      <c r="M7" s="24">
        <v>8</v>
      </c>
      <c r="N7" s="24">
        <v>8</v>
      </c>
      <c r="O7" s="24">
        <v>8</v>
      </c>
      <c r="P7" s="24">
        <v>8</v>
      </c>
      <c r="Q7" s="63"/>
      <c r="R7" s="63"/>
      <c r="S7" s="24">
        <v>8</v>
      </c>
      <c r="T7" s="24">
        <v>8</v>
      </c>
      <c r="U7" s="24">
        <v>8</v>
      </c>
      <c r="V7" s="24">
        <v>8</v>
      </c>
      <c r="W7" s="24">
        <v>8</v>
      </c>
      <c r="X7" s="63"/>
      <c r="Y7" s="63"/>
      <c r="Z7" s="24">
        <v>8</v>
      </c>
      <c r="AA7" s="24">
        <v>8</v>
      </c>
      <c r="AB7" s="24">
        <v>8</v>
      </c>
      <c r="AC7" s="24">
        <v>8</v>
      </c>
      <c r="AD7" s="24">
        <v>8</v>
      </c>
      <c r="AE7" s="63"/>
      <c r="AF7" s="63"/>
      <c r="AG7" s="24">
        <v>8</v>
      </c>
      <c r="AH7" s="24">
        <v>8</v>
      </c>
      <c r="AI7" s="24">
        <v>8</v>
      </c>
      <c r="AJ7" s="295">
        <v>8</v>
      </c>
      <c r="AK7" s="80">
        <f>SUM(F7:AJ7)</f>
        <v>184</v>
      </c>
      <c r="AL7" s="81">
        <f t="shared" ref="AL7:AL27" si="0">AK7/8</f>
        <v>23</v>
      </c>
      <c r="AM7" s="203"/>
      <c r="AN7" s="15" t="s">
        <v>131</v>
      </c>
    </row>
    <row r="8" spans="1:44" ht="35.1" customHeight="1" thickBot="1" x14ac:dyDescent="0.3">
      <c r="A8" s="68">
        <v>2</v>
      </c>
      <c r="B8" s="98" t="s">
        <v>102</v>
      </c>
      <c r="C8" s="41" t="s">
        <v>103</v>
      </c>
      <c r="D8" s="99" t="s">
        <v>107</v>
      </c>
      <c r="E8" s="74" t="s">
        <v>2</v>
      </c>
      <c r="F8" s="100">
        <v>8</v>
      </c>
      <c r="G8" s="34">
        <v>8</v>
      </c>
      <c r="H8" s="34">
        <v>8</v>
      </c>
      <c r="I8" s="34">
        <v>8</v>
      </c>
      <c r="J8" s="65"/>
      <c r="K8" s="65"/>
      <c r="L8" s="100">
        <v>8</v>
      </c>
      <c r="M8" s="34">
        <v>8</v>
      </c>
      <c r="N8" s="34">
        <v>8</v>
      </c>
      <c r="O8" s="34">
        <v>8</v>
      </c>
      <c r="P8" s="34">
        <v>8</v>
      </c>
      <c r="Q8" s="253">
        <v>8</v>
      </c>
      <c r="R8" s="253">
        <v>8</v>
      </c>
      <c r="S8" s="34">
        <v>8</v>
      </c>
      <c r="T8" s="34">
        <v>8</v>
      </c>
      <c r="U8" s="34">
        <v>8</v>
      </c>
      <c r="V8" s="34">
        <v>8</v>
      </c>
      <c r="W8" s="34">
        <v>8</v>
      </c>
      <c r="X8" s="65"/>
      <c r="Y8" s="65"/>
      <c r="Z8" s="34">
        <v>8</v>
      </c>
      <c r="AA8" s="32">
        <v>8</v>
      </c>
      <c r="AB8" s="32">
        <v>8</v>
      </c>
      <c r="AC8" s="32">
        <v>8</v>
      </c>
      <c r="AD8" s="34">
        <v>8</v>
      </c>
      <c r="AE8" s="65"/>
      <c r="AF8" s="65"/>
      <c r="AG8" s="34">
        <v>8</v>
      </c>
      <c r="AH8" s="34">
        <v>8</v>
      </c>
      <c r="AI8" s="34">
        <v>8</v>
      </c>
      <c r="AJ8" s="296">
        <v>8</v>
      </c>
      <c r="AK8" s="76">
        <f t="shared" ref="AK8:AK27" si="1">SUM(F8:AJ8)</f>
        <v>200</v>
      </c>
      <c r="AL8" s="241">
        <f t="shared" si="0"/>
        <v>25</v>
      </c>
      <c r="AM8" s="258">
        <f>AL8*2652.1739304</f>
        <v>66304.348259999999</v>
      </c>
      <c r="AN8" s="15" t="s">
        <v>131</v>
      </c>
      <c r="AR8" s="2"/>
    </row>
    <row r="9" spans="1:44" ht="24.75" customHeight="1" thickBot="1" x14ac:dyDescent="0.3">
      <c r="A9" s="371" t="s">
        <v>24</v>
      </c>
      <c r="B9" s="372"/>
      <c r="C9" s="372"/>
      <c r="D9" s="372"/>
      <c r="E9" s="373"/>
      <c r="F9" s="85">
        <f>COUNT(F7:F8)</f>
        <v>2</v>
      </c>
      <c r="G9" s="66">
        <f t="shared" ref="G9:AJ9" si="2">COUNT(G7:G8)</f>
        <v>2</v>
      </c>
      <c r="H9" s="66">
        <f t="shared" si="2"/>
        <v>2</v>
      </c>
      <c r="I9" s="66">
        <f t="shared" si="2"/>
        <v>2</v>
      </c>
      <c r="J9" s="66">
        <f t="shared" si="2"/>
        <v>0</v>
      </c>
      <c r="K9" s="66">
        <f t="shared" si="2"/>
        <v>0</v>
      </c>
      <c r="L9" s="66">
        <f t="shared" si="2"/>
        <v>2</v>
      </c>
      <c r="M9" s="66">
        <f t="shared" si="2"/>
        <v>2</v>
      </c>
      <c r="N9" s="66">
        <f t="shared" si="2"/>
        <v>2</v>
      </c>
      <c r="O9" s="66">
        <f t="shared" si="2"/>
        <v>2</v>
      </c>
      <c r="P9" s="66">
        <f t="shared" si="2"/>
        <v>2</v>
      </c>
      <c r="Q9" s="66">
        <f t="shared" si="2"/>
        <v>1</v>
      </c>
      <c r="R9" s="66">
        <f t="shared" si="2"/>
        <v>1</v>
      </c>
      <c r="S9" s="66">
        <f t="shared" si="2"/>
        <v>2</v>
      </c>
      <c r="T9" s="66">
        <f t="shared" si="2"/>
        <v>2</v>
      </c>
      <c r="U9" s="66">
        <f t="shared" si="2"/>
        <v>2</v>
      </c>
      <c r="V9" s="66">
        <f t="shared" si="2"/>
        <v>2</v>
      </c>
      <c r="W9" s="66">
        <f t="shared" si="2"/>
        <v>2</v>
      </c>
      <c r="X9" s="66">
        <f t="shared" si="2"/>
        <v>0</v>
      </c>
      <c r="Y9" s="66">
        <f t="shared" si="2"/>
        <v>0</v>
      </c>
      <c r="Z9" s="66">
        <f t="shared" si="2"/>
        <v>2</v>
      </c>
      <c r="AA9" s="66">
        <f t="shared" si="2"/>
        <v>2</v>
      </c>
      <c r="AB9" s="66">
        <f t="shared" si="2"/>
        <v>2</v>
      </c>
      <c r="AC9" s="66">
        <f t="shared" si="2"/>
        <v>2</v>
      </c>
      <c r="AD9" s="66">
        <f t="shared" si="2"/>
        <v>2</v>
      </c>
      <c r="AE9" s="66">
        <f t="shared" si="2"/>
        <v>0</v>
      </c>
      <c r="AF9" s="66">
        <f t="shared" si="2"/>
        <v>0</v>
      </c>
      <c r="AG9" s="66">
        <f t="shared" si="2"/>
        <v>2</v>
      </c>
      <c r="AH9" s="66">
        <f t="shared" si="2"/>
        <v>2</v>
      </c>
      <c r="AI9" s="66">
        <f t="shared" si="2"/>
        <v>2</v>
      </c>
      <c r="AJ9" s="87">
        <f t="shared" si="2"/>
        <v>2</v>
      </c>
      <c r="AK9" s="85">
        <f>SUM(AK7:AK8)</f>
        <v>384</v>
      </c>
      <c r="AL9" s="67">
        <f>SUM(AL7:AL8)</f>
        <v>48</v>
      </c>
      <c r="AM9" s="246">
        <f>AN9-AM8</f>
        <v>-5304.3482599999988</v>
      </c>
      <c r="AN9" s="15">
        <v>61000</v>
      </c>
    </row>
    <row r="10" spans="1:44" ht="35.1" customHeight="1" thickBot="1" x14ac:dyDescent="0.3">
      <c r="A10" s="368" t="s">
        <v>187</v>
      </c>
      <c r="B10" s="369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  <c r="Z10" s="369"/>
      <c r="AA10" s="369"/>
      <c r="AB10" s="369"/>
      <c r="AC10" s="369"/>
      <c r="AD10" s="369"/>
      <c r="AE10" s="369"/>
      <c r="AF10" s="369"/>
      <c r="AG10" s="369"/>
      <c r="AH10" s="369"/>
      <c r="AI10" s="369"/>
      <c r="AJ10" s="369"/>
      <c r="AK10" s="369"/>
      <c r="AL10" s="370"/>
      <c r="AM10" s="203"/>
      <c r="AN10" s="15"/>
    </row>
    <row r="11" spans="1:44" ht="35.1" customHeight="1" x14ac:dyDescent="0.25">
      <c r="A11" s="101">
        <v>3</v>
      </c>
      <c r="B11" s="70" t="s">
        <v>143</v>
      </c>
      <c r="C11" s="71" t="s">
        <v>130</v>
      </c>
      <c r="D11" s="102" t="s">
        <v>144</v>
      </c>
      <c r="E11" s="91" t="s">
        <v>2</v>
      </c>
      <c r="F11" s="88">
        <v>8</v>
      </c>
      <c r="G11" s="88">
        <v>8</v>
      </c>
      <c r="H11" s="88">
        <v>8</v>
      </c>
      <c r="I11" s="88">
        <v>8</v>
      </c>
      <c r="J11" s="89"/>
      <c r="K11" s="89"/>
      <c r="L11" s="35">
        <v>8</v>
      </c>
      <c r="M11" s="35">
        <v>8</v>
      </c>
      <c r="N11" s="35">
        <v>8</v>
      </c>
      <c r="O11" s="35">
        <v>8</v>
      </c>
      <c r="P11" s="35">
        <v>8</v>
      </c>
      <c r="Q11" s="89"/>
      <c r="R11" s="89"/>
      <c r="S11" s="35">
        <v>8</v>
      </c>
      <c r="T11" s="35">
        <v>8</v>
      </c>
      <c r="U11" s="35">
        <v>8</v>
      </c>
      <c r="V11" s="35">
        <v>8</v>
      </c>
      <c r="W11" s="35">
        <v>8</v>
      </c>
      <c r="X11" s="89"/>
      <c r="Y11" s="89"/>
      <c r="Z11" s="35">
        <v>8</v>
      </c>
      <c r="AA11" s="35">
        <v>8</v>
      </c>
      <c r="AB11" s="35">
        <v>8</v>
      </c>
      <c r="AC11" s="35">
        <v>8</v>
      </c>
      <c r="AD11" s="35">
        <v>8</v>
      </c>
      <c r="AE11" s="89"/>
      <c r="AF11" s="89"/>
      <c r="AG11" s="35">
        <v>8</v>
      </c>
      <c r="AH11" s="35">
        <v>8</v>
      </c>
      <c r="AI11" s="35">
        <v>8</v>
      </c>
      <c r="AJ11" s="35">
        <v>8</v>
      </c>
      <c r="AK11" s="82">
        <f>SUM(F11:AJ11)</f>
        <v>184</v>
      </c>
      <c r="AL11" s="214">
        <f>AK11/8</f>
        <v>23</v>
      </c>
      <c r="AM11" s="243">
        <f>AL11*3973.91304347</f>
        <v>91399.999999809996</v>
      </c>
      <c r="AN11" s="15"/>
    </row>
    <row r="12" spans="1:44" ht="35.1" customHeight="1" x14ac:dyDescent="0.25">
      <c r="A12" s="51">
        <v>4</v>
      </c>
      <c r="B12" s="47" t="s">
        <v>10</v>
      </c>
      <c r="C12" s="40" t="s">
        <v>8</v>
      </c>
      <c r="D12" s="40" t="s">
        <v>11</v>
      </c>
      <c r="E12" s="73" t="s">
        <v>2</v>
      </c>
      <c r="F12" s="26">
        <v>8</v>
      </c>
      <c r="G12" s="27">
        <v>8</v>
      </c>
      <c r="H12" s="27">
        <v>8</v>
      </c>
      <c r="I12" s="27">
        <v>8</v>
      </c>
      <c r="J12" s="64"/>
      <c r="K12" s="64"/>
      <c r="L12" s="27">
        <v>8</v>
      </c>
      <c r="M12" s="27">
        <v>8</v>
      </c>
      <c r="N12" s="27">
        <v>8</v>
      </c>
      <c r="O12" s="35">
        <v>8</v>
      </c>
      <c r="P12" s="35">
        <v>8</v>
      </c>
      <c r="Q12" s="64"/>
      <c r="R12" s="64"/>
      <c r="S12" s="35">
        <v>8</v>
      </c>
      <c r="T12" s="35">
        <v>8</v>
      </c>
      <c r="U12" s="35">
        <v>8</v>
      </c>
      <c r="V12" s="35">
        <v>8</v>
      </c>
      <c r="W12" s="35">
        <v>8</v>
      </c>
      <c r="X12" s="64"/>
      <c r="Y12" s="64"/>
      <c r="Z12" s="35">
        <v>8</v>
      </c>
      <c r="AA12" s="35">
        <v>8</v>
      </c>
      <c r="AB12" s="35">
        <v>8</v>
      </c>
      <c r="AC12" s="35">
        <v>8</v>
      </c>
      <c r="AD12" s="35">
        <v>8</v>
      </c>
      <c r="AE12" s="64"/>
      <c r="AF12" s="64"/>
      <c r="AG12" s="35">
        <v>8</v>
      </c>
      <c r="AH12" s="35">
        <v>8</v>
      </c>
      <c r="AI12" s="35">
        <v>8</v>
      </c>
      <c r="AJ12" s="35">
        <v>8</v>
      </c>
      <c r="AK12" s="82">
        <f>SUM(F12:AJ12)</f>
        <v>184</v>
      </c>
      <c r="AL12" s="214">
        <f>AK12/8</f>
        <v>23</v>
      </c>
      <c r="AM12" s="243">
        <f>AL12*2608.69565217</f>
        <v>59999.999999909996</v>
      </c>
      <c r="AN12" s="15" t="s">
        <v>124</v>
      </c>
    </row>
    <row r="13" spans="1:44" ht="35.1" customHeight="1" x14ac:dyDescent="0.25">
      <c r="A13" s="51">
        <v>5</v>
      </c>
      <c r="B13" s="6" t="s">
        <v>3</v>
      </c>
      <c r="C13" s="40" t="s">
        <v>4</v>
      </c>
      <c r="D13" s="40" t="s">
        <v>5</v>
      </c>
      <c r="E13" s="73" t="s">
        <v>23</v>
      </c>
      <c r="F13" s="26">
        <v>11</v>
      </c>
      <c r="G13" s="28"/>
      <c r="H13" s="28"/>
      <c r="I13" s="27">
        <v>11</v>
      </c>
      <c r="J13" s="27">
        <v>11</v>
      </c>
      <c r="K13" s="64"/>
      <c r="L13" s="28"/>
      <c r="M13" s="27">
        <v>11</v>
      </c>
      <c r="N13" s="27">
        <v>11</v>
      </c>
      <c r="O13" s="28"/>
      <c r="P13" s="28"/>
      <c r="Q13" s="27">
        <v>11</v>
      </c>
      <c r="R13" s="27">
        <v>11</v>
      </c>
      <c r="S13" s="28"/>
      <c r="T13" s="28"/>
      <c r="U13" s="27">
        <v>11</v>
      </c>
      <c r="V13" s="27">
        <v>11</v>
      </c>
      <c r="W13" s="28"/>
      <c r="X13" s="64"/>
      <c r="Y13" s="27">
        <v>11</v>
      </c>
      <c r="Z13" s="287" t="s">
        <v>177</v>
      </c>
      <c r="AA13" s="28"/>
      <c r="AB13" s="28"/>
      <c r="AC13" s="287" t="s">
        <v>177</v>
      </c>
      <c r="AD13" s="287" t="s">
        <v>177</v>
      </c>
      <c r="AE13" s="64"/>
      <c r="AF13" s="64"/>
      <c r="AG13" s="287" t="s">
        <v>177</v>
      </c>
      <c r="AH13" s="287" t="s">
        <v>177</v>
      </c>
      <c r="AI13" s="28"/>
      <c r="AJ13" s="60"/>
      <c r="AK13" s="83">
        <f>SUM(F13:AJ13)</f>
        <v>110</v>
      </c>
      <c r="AL13" s="215">
        <f t="shared" ref="AL13" si="3">AK13/11</f>
        <v>10</v>
      </c>
      <c r="AM13" s="243">
        <f>AL13*5000</f>
        <v>50000</v>
      </c>
      <c r="AN13" s="15" t="s">
        <v>124</v>
      </c>
    </row>
    <row r="14" spans="1:44" ht="35.1" customHeight="1" x14ac:dyDescent="0.25">
      <c r="A14" s="51">
        <v>6</v>
      </c>
      <c r="B14" s="6" t="s">
        <v>7</v>
      </c>
      <c r="C14" s="40" t="s">
        <v>6</v>
      </c>
      <c r="D14" s="40" t="s">
        <v>9</v>
      </c>
      <c r="E14" s="73" t="s">
        <v>2</v>
      </c>
      <c r="F14" s="26">
        <v>8</v>
      </c>
      <c r="G14" s="27">
        <v>8</v>
      </c>
      <c r="H14" s="27">
        <v>8</v>
      </c>
      <c r="I14" s="27">
        <v>8</v>
      </c>
      <c r="J14" s="213">
        <v>8</v>
      </c>
      <c r="K14" s="64"/>
      <c r="L14" s="27">
        <v>8</v>
      </c>
      <c r="M14" s="27">
        <v>8</v>
      </c>
      <c r="N14" s="35">
        <v>8</v>
      </c>
      <c r="O14" s="35">
        <v>8</v>
      </c>
      <c r="P14" s="35">
        <v>8</v>
      </c>
      <c r="Q14" s="64"/>
      <c r="R14" s="64"/>
      <c r="S14" s="35">
        <v>8</v>
      </c>
      <c r="T14" s="35">
        <v>8</v>
      </c>
      <c r="U14" s="35">
        <v>8</v>
      </c>
      <c r="V14" s="35">
        <v>8</v>
      </c>
      <c r="W14" s="35">
        <v>8</v>
      </c>
      <c r="X14" s="64"/>
      <c r="Y14" s="64"/>
      <c r="Z14" s="35">
        <v>8</v>
      </c>
      <c r="AA14" s="35">
        <v>8</v>
      </c>
      <c r="AB14" s="35">
        <v>8</v>
      </c>
      <c r="AC14" s="35">
        <v>8</v>
      </c>
      <c r="AD14" s="35">
        <v>8</v>
      </c>
      <c r="AE14" s="213">
        <v>8</v>
      </c>
      <c r="AF14" s="64"/>
      <c r="AG14" s="35">
        <v>8</v>
      </c>
      <c r="AH14" s="35">
        <v>8</v>
      </c>
      <c r="AI14" s="35">
        <v>8</v>
      </c>
      <c r="AJ14" s="292">
        <v>8</v>
      </c>
      <c r="AK14" s="82">
        <f t="shared" si="1"/>
        <v>200</v>
      </c>
      <c r="AL14" s="214">
        <f t="shared" si="0"/>
        <v>25</v>
      </c>
      <c r="AM14" s="243">
        <f>AL14*3260.86956521</f>
        <v>81521.739130250004</v>
      </c>
      <c r="AN14" s="15" t="s">
        <v>124</v>
      </c>
    </row>
    <row r="15" spans="1:44" ht="35.1" customHeight="1" x14ac:dyDescent="0.25">
      <c r="A15" s="51">
        <v>7</v>
      </c>
      <c r="B15" s="6" t="s">
        <v>12</v>
      </c>
      <c r="C15" s="40" t="s">
        <v>8</v>
      </c>
      <c r="D15" s="40" t="s">
        <v>13</v>
      </c>
      <c r="E15" s="73" t="s">
        <v>2</v>
      </c>
      <c r="F15" s="26">
        <v>8</v>
      </c>
      <c r="G15" s="27">
        <v>8</v>
      </c>
      <c r="H15" s="27">
        <v>8</v>
      </c>
      <c r="I15" s="27">
        <v>8</v>
      </c>
      <c r="J15" s="64"/>
      <c r="K15" s="64"/>
      <c r="L15" s="27">
        <v>8</v>
      </c>
      <c r="M15" s="27">
        <v>8</v>
      </c>
      <c r="N15" s="35">
        <v>8</v>
      </c>
      <c r="O15" s="35">
        <v>8</v>
      </c>
      <c r="P15" s="35">
        <v>8</v>
      </c>
      <c r="Q15" s="64"/>
      <c r="R15" s="64"/>
      <c r="S15" s="35">
        <v>8</v>
      </c>
      <c r="T15" s="35">
        <v>8</v>
      </c>
      <c r="U15" s="35">
        <v>8</v>
      </c>
      <c r="V15" s="35">
        <v>8</v>
      </c>
      <c r="W15" s="35">
        <v>8</v>
      </c>
      <c r="X15" s="64"/>
      <c r="Y15" s="64"/>
      <c r="Z15" s="35">
        <v>8</v>
      </c>
      <c r="AA15" s="35">
        <v>8</v>
      </c>
      <c r="AB15" s="35">
        <v>8</v>
      </c>
      <c r="AC15" s="35">
        <v>8</v>
      </c>
      <c r="AD15" s="35">
        <v>8</v>
      </c>
      <c r="AE15" s="64"/>
      <c r="AF15" s="64"/>
      <c r="AG15" s="35">
        <v>8</v>
      </c>
      <c r="AH15" s="35">
        <v>8</v>
      </c>
      <c r="AI15" s="35">
        <v>8</v>
      </c>
      <c r="AJ15" s="292">
        <v>8</v>
      </c>
      <c r="AK15" s="82">
        <f t="shared" si="1"/>
        <v>184</v>
      </c>
      <c r="AL15" s="214">
        <f t="shared" si="0"/>
        <v>23</v>
      </c>
      <c r="AM15" s="243">
        <f>AL15*2608.69565217</f>
        <v>59999.999999909996</v>
      </c>
      <c r="AN15" s="15" t="s">
        <v>124</v>
      </c>
    </row>
    <row r="16" spans="1:44" ht="35.1" customHeight="1" x14ac:dyDescent="0.25">
      <c r="A16" s="51">
        <v>8</v>
      </c>
      <c r="B16" s="6" t="s">
        <v>14</v>
      </c>
      <c r="C16" s="40" t="s">
        <v>8</v>
      </c>
      <c r="D16" s="40" t="s">
        <v>15</v>
      </c>
      <c r="E16" s="73" t="s">
        <v>2</v>
      </c>
      <c r="F16" s="26">
        <v>8</v>
      </c>
      <c r="G16" s="27">
        <v>8</v>
      </c>
      <c r="H16" s="27">
        <v>8</v>
      </c>
      <c r="I16" s="27">
        <v>8</v>
      </c>
      <c r="J16" s="64"/>
      <c r="K16" s="64"/>
      <c r="L16" s="27">
        <v>8</v>
      </c>
      <c r="M16" s="27">
        <v>8</v>
      </c>
      <c r="N16" s="35">
        <v>8</v>
      </c>
      <c r="O16" s="35">
        <v>8</v>
      </c>
      <c r="P16" s="35">
        <v>8</v>
      </c>
      <c r="Q16" s="64"/>
      <c r="R16" s="64"/>
      <c r="S16" s="35">
        <v>8</v>
      </c>
      <c r="T16" s="35">
        <v>8</v>
      </c>
      <c r="U16" s="35">
        <v>8</v>
      </c>
      <c r="V16" s="35">
        <v>8</v>
      </c>
      <c r="W16" s="35">
        <v>8</v>
      </c>
      <c r="X16" s="64"/>
      <c r="Y16" s="64"/>
      <c r="Z16" s="35">
        <v>8</v>
      </c>
      <c r="AA16" s="35">
        <v>8</v>
      </c>
      <c r="AB16" s="35">
        <v>8</v>
      </c>
      <c r="AC16" s="35">
        <v>8</v>
      </c>
      <c r="AD16" s="35">
        <v>8</v>
      </c>
      <c r="AE16" s="64"/>
      <c r="AF16" s="64"/>
      <c r="AG16" s="35">
        <v>8</v>
      </c>
      <c r="AH16" s="35">
        <v>8</v>
      </c>
      <c r="AI16" s="35">
        <v>8</v>
      </c>
      <c r="AJ16" s="292">
        <v>8</v>
      </c>
      <c r="AK16" s="82">
        <f t="shared" si="1"/>
        <v>184</v>
      </c>
      <c r="AL16" s="214">
        <f t="shared" si="0"/>
        <v>23</v>
      </c>
      <c r="AM16" s="243">
        <f t="shared" ref="AM16:AM22" si="4">AL16*2608.69565217</f>
        <v>59999.999999909996</v>
      </c>
      <c r="AN16" s="16"/>
    </row>
    <row r="17" spans="1:40" ht="35.1" customHeight="1" x14ac:dyDescent="0.25">
      <c r="A17" s="51">
        <v>9</v>
      </c>
      <c r="B17" s="6" t="s">
        <v>16</v>
      </c>
      <c r="C17" s="40" t="s">
        <v>8</v>
      </c>
      <c r="D17" s="40" t="s">
        <v>15</v>
      </c>
      <c r="E17" s="73" t="s">
        <v>2</v>
      </c>
      <c r="F17" s="26">
        <v>8</v>
      </c>
      <c r="G17" s="27">
        <v>8</v>
      </c>
      <c r="H17" s="27">
        <v>8</v>
      </c>
      <c r="I17" s="27">
        <v>8</v>
      </c>
      <c r="J17" s="64"/>
      <c r="K17" s="64"/>
      <c r="L17" s="27">
        <v>8</v>
      </c>
      <c r="M17" s="27">
        <v>8</v>
      </c>
      <c r="N17" s="35">
        <v>8</v>
      </c>
      <c r="O17" s="35">
        <v>8</v>
      </c>
      <c r="P17" s="35">
        <v>8</v>
      </c>
      <c r="Q17" s="64"/>
      <c r="R17" s="64"/>
      <c r="S17" s="35">
        <v>8</v>
      </c>
      <c r="T17" s="35">
        <v>8</v>
      </c>
      <c r="U17" s="35">
        <v>8</v>
      </c>
      <c r="V17" s="35">
        <v>8</v>
      </c>
      <c r="W17" s="35">
        <v>8</v>
      </c>
      <c r="X17" s="64"/>
      <c r="Y17" s="64"/>
      <c r="Z17" s="35">
        <v>8</v>
      </c>
      <c r="AA17" s="35">
        <v>8</v>
      </c>
      <c r="AB17" s="35">
        <v>8</v>
      </c>
      <c r="AC17" s="35">
        <v>8</v>
      </c>
      <c r="AD17" s="35">
        <v>8</v>
      </c>
      <c r="AE17" s="64"/>
      <c r="AF17" s="64"/>
      <c r="AG17" s="35">
        <v>8</v>
      </c>
      <c r="AH17" s="35">
        <v>8</v>
      </c>
      <c r="AI17" s="35">
        <v>8</v>
      </c>
      <c r="AJ17" s="292">
        <v>8</v>
      </c>
      <c r="AK17" s="82">
        <f t="shared" si="1"/>
        <v>184</v>
      </c>
      <c r="AL17" s="214">
        <f t="shared" si="0"/>
        <v>23</v>
      </c>
      <c r="AM17" s="243">
        <f t="shared" si="4"/>
        <v>59999.999999909996</v>
      </c>
      <c r="AN17" s="16"/>
    </row>
    <row r="18" spans="1:40" ht="35.1" customHeight="1" x14ac:dyDescent="0.25">
      <c r="A18" s="51">
        <v>10</v>
      </c>
      <c r="B18" s="6" t="s">
        <v>132</v>
      </c>
      <c r="C18" s="40" t="s">
        <v>8</v>
      </c>
      <c r="D18" s="40" t="s">
        <v>129</v>
      </c>
      <c r="E18" s="73" t="s">
        <v>2</v>
      </c>
      <c r="F18" s="78" t="s">
        <v>177</v>
      </c>
      <c r="G18" s="79" t="s">
        <v>177</v>
      </c>
      <c r="H18" s="79" t="s">
        <v>177</v>
      </c>
      <c r="I18" s="79" t="s">
        <v>177</v>
      </c>
      <c r="J18" s="64"/>
      <c r="K18" s="64"/>
      <c r="L18" s="79" t="s">
        <v>177</v>
      </c>
      <c r="M18" s="79" t="s">
        <v>177</v>
      </c>
      <c r="N18" s="79" t="s">
        <v>177</v>
      </c>
      <c r="O18" s="35">
        <v>8</v>
      </c>
      <c r="P18" s="35">
        <v>8</v>
      </c>
      <c r="Q18" s="64"/>
      <c r="R18" s="64"/>
      <c r="S18" s="35">
        <v>8</v>
      </c>
      <c r="T18" s="35">
        <v>8</v>
      </c>
      <c r="U18" s="35">
        <v>8</v>
      </c>
      <c r="V18" s="35">
        <v>8</v>
      </c>
      <c r="W18" s="35">
        <v>8</v>
      </c>
      <c r="X18" s="64"/>
      <c r="Y18" s="64"/>
      <c r="Z18" s="35">
        <v>8</v>
      </c>
      <c r="AA18" s="35">
        <v>8</v>
      </c>
      <c r="AB18" s="35">
        <v>8</v>
      </c>
      <c r="AC18" s="35">
        <v>8</v>
      </c>
      <c r="AD18" s="35">
        <v>8</v>
      </c>
      <c r="AE18" s="64"/>
      <c r="AF18" s="64"/>
      <c r="AG18" s="35">
        <v>8</v>
      </c>
      <c r="AH18" s="289" t="s">
        <v>172</v>
      </c>
      <c r="AI18" s="289" t="s">
        <v>172</v>
      </c>
      <c r="AJ18" s="289" t="s">
        <v>172</v>
      </c>
      <c r="AK18" s="82">
        <f t="shared" si="1"/>
        <v>104</v>
      </c>
      <c r="AL18" s="214">
        <f t="shared" si="0"/>
        <v>13</v>
      </c>
      <c r="AM18" s="243">
        <f t="shared" si="4"/>
        <v>33913.043478209998</v>
      </c>
      <c r="AN18" s="15" t="s">
        <v>124</v>
      </c>
    </row>
    <row r="19" spans="1:40" ht="35.1" customHeight="1" x14ac:dyDescent="0.25">
      <c r="A19" s="51">
        <v>11</v>
      </c>
      <c r="B19" s="6" t="s">
        <v>19</v>
      </c>
      <c r="C19" s="40" t="s">
        <v>8</v>
      </c>
      <c r="D19" s="40" t="s">
        <v>20</v>
      </c>
      <c r="E19" s="73" t="s">
        <v>2</v>
      </c>
      <c r="F19" s="75" t="s">
        <v>172</v>
      </c>
      <c r="G19" s="75" t="s">
        <v>172</v>
      </c>
      <c r="H19" s="75" t="s">
        <v>172</v>
      </c>
      <c r="I19" s="75" t="s">
        <v>172</v>
      </c>
      <c r="J19" s="64"/>
      <c r="K19" s="64"/>
      <c r="L19" s="27">
        <v>8</v>
      </c>
      <c r="M19" s="27">
        <v>8</v>
      </c>
      <c r="N19" s="27">
        <v>8</v>
      </c>
      <c r="O19" s="27">
        <v>8</v>
      </c>
      <c r="P19" s="35">
        <v>8</v>
      </c>
      <c r="Q19" s="64"/>
      <c r="R19" s="64"/>
      <c r="S19" s="35">
        <v>8</v>
      </c>
      <c r="T19" s="35">
        <v>8</v>
      </c>
      <c r="U19" s="35">
        <v>8</v>
      </c>
      <c r="V19" s="35">
        <v>8</v>
      </c>
      <c r="W19" s="35">
        <v>8</v>
      </c>
      <c r="X19" s="64"/>
      <c r="Y19" s="64"/>
      <c r="Z19" s="35">
        <v>8</v>
      </c>
      <c r="AA19" s="35">
        <v>8</v>
      </c>
      <c r="AB19" s="35">
        <v>8</v>
      </c>
      <c r="AC19" s="35">
        <v>8</v>
      </c>
      <c r="AD19" s="35">
        <v>8</v>
      </c>
      <c r="AE19" s="64"/>
      <c r="AF19" s="64"/>
      <c r="AG19" s="35">
        <v>8</v>
      </c>
      <c r="AH19" s="35">
        <v>8</v>
      </c>
      <c r="AI19" s="35">
        <v>8</v>
      </c>
      <c r="AJ19" s="292">
        <v>8</v>
      </c>
      <c r="AK19" s="82">
        <f t="shared" si="1"/>
        <v>152</v>
      </c>
      <c r="AL19" s="214">
        <f t="shared" si="0"/>
        <v>19</v>
      </c>
      <c r="AM19" s="243">
        <f t="shared" si="4"/>
        <v>49565.217391229999</v>
      </c>
      <c r="AN19" s="15" t="s">
        <v>124</v>
      </c>
    </row>
    <row r="20" spans="1:40" ht="35.1" customHeight="1" x14ac:dyDescent="0.25">
      <c r="A20" s="51">
        <v>12</v>
      </c>
      <c r="B20" s="6" t="s">
        <v>125</v>
      </c>
      <c r="C20" s="40" t="s">
        <v>8</v>
      </c>
      <c r="D20" s="40" t="s">
        <v>126</v>
      </c>
      <c r="E20" s="73" t="s">
        <v>2</v>
      </c>
      <c r="F20" s="26">
        <v>8</v>
      </c>
      <c r="G20" s="27">
        <v>8</v>
      </c>
      <c r="H20" s="27">
        <v>8</v>
      </c>
      <c r="I20" s="27">
        <v>8</v>
      </c>
      <c r="J20" s="213">
        <v>8</v>
      </c>
      <c r="K20" s="64"/>
      <c r="L20" s="27">
        <v>8</v>
      </c>
      <c r="M20" s="27">
        <v>8</v>
      </c>
      <c r="N20" s="27">
        <v>8</v>
      </c>
      <c r="O20" s="27">
        <v>8</v>
      </c>
      <c r="P20" s="35">
        <v>8</v>
      </c>
      <c r="Q20" s="64"/>
      <c r="R20" s="64"/>
      <c r="S20" s="75" t="s">
        <v>172</v>
      </c>
      <c r="T20" s="35">
        <v>8</v>
      </c>
      <c r="U20" s="35">
        <v>8</v>
      </c>
      <c r="V20" s="35">
        <v>8</v>
      </c>
      <c r="W20" s="35">
        <v>8</v>
      </c>
      <c r="X20" s="64"/>
      <c r="Y20" s="64"/>
      <c r="Z20" s="75" t="s">
        <v>172</v>
      </c>
      <c r="AA20" s="35">
        <v>8</v>
      </c>
      <c r="AB20" s="35">
        <v>8</v>
      </c>
      <c r="AC20" s="35">
        <v>8</v>
      </c>
      <c r="AD20" s="35">
        <v>8</v>
      </c>
      <c r="AE20" s="64"/>
      <c r="AF20" s="64"/>
      <c r="AG20" s="35">
        <v>8</v>
      </c>
      <c r="AH20" s="289" t="s">
        <v>172</v>
      </c>
      <c r="AI20" s="289" t="s">
        <v>172</v>
      </c>
      <c r="AJ20" s="289" t="s">
        <v>172</v>
      </c>
      <c r="AK20" s="82">
        <f t="shared" si="1"/>
        <v>152</v>
      </c>
      <c r="AL20" s="214">
        <f t="shared" si="0"/>
        <v>19</v>
      </c>
      <c r="AM20" s="243">
        <f t="shared" si="4"/>
        <v>49565.217391229999</v>
      </c>
      <c r="AN20" s="15" t="s">
        <v>124</v>
      </c>
    </row>
    <row r="21" spans="1:40" ht="35.1" customHeight="1" x14ac:dyDescent="0.25">
      <c r="A21" s="51">
        <v>13</v>
      </c>
      <c r="B21" s="6" t="s">
        <v>17</v>
      </c>
      <c r="C21" s="40" t="s">
        <v>8</v>
      </c>
      <c r="D21" s="40" t="s">
        <v>18</v>
      </c>
      <c r="E21" s="73" t="s">
        <v>2</v>
      </c>
      <c r="F21" s="75" t="s">
        <v>172</v>
      </c>
      <c r="G21" s="27">
        <v>8</v>
      </c>
      <c r="H21" s="27">
        <v>8</v>
      </c>
      <c r="I21" s="27">
        <v>8</v>
      </c>
      <c r="J21" s="64"/>
      <c r="K21" s="64"/>
      <c r="L21" s="27">
        <v>8</v>
      </c>
      <c r="M21" s="27">
        <v>8</v>
      </c>
      <c r="N21" s="27">
        <v>8</v>
      </c>
      <c r="O21" s="27">
        <v>8</v>
      </c>
      <c r="P21" s="35">
        <v>8</v>
      </c>
      <c r="Q21" s="64"/>
      <c r="R21" s="64"/>
      <c r="S21" s="35">
        <v>8</v>
      </c>
      <c r="T21" s="35">
        <v>8</v>
      </c>
      <c r="U21" s="35">
        <v>8</v>
      </c>
      <c r="V21" s="35">
        <v>8</v>
      </c>
      <c r="W21" s="35">
        <v>8</v>
      </c>
      <c r="X21" s="64"/>
      <c r="Y21" s="64"/>
      <c r="Z21" s="35">
        <v>8</v>
      </c>
      <c r="AA21" s="35">
        <v>8</v>
      </c>
      <c r="AB21" s="35">
        <v>8</v>
      </c>
      <c r="AC21" s="35">
        <v>8</v>
      </c>
      <c r="AD21" s="35">
        <v>8</v>
      </c>
      <c r="AE21" s="64"/>
      <c r="AF21" s="64"/>
      <c r="AG21" s="35">
        <v>8</v>
      </c>
      <c r="AH21" s="35">
        <v>8</v>
      </c>
      <c r="AI21" s="35">
        <v>8</v>
      </c>
      <c r="AJ21" s="292">
        <v>8</v>
      </c>
      <c r="AK21" s="82">
        <f t="shared" si="1"/>
        <v>176</v>
      </c>
      <c r="AL21" s="214">
        <f t="shared" si="0"/>
        <v>22</v>
      </c>
      <c r="AM21" s="243">
        <f t="shared" si="4"/>
        <v>57391.304347739999</v>
      </c>
      <c r="AN21" s="15" t="s">
        <v>124</v>
      </c>
    </row>
    <row r="22" spans="1:40" ht="35.1" customHeight="1" x14ac:dyDescent="0.25">
      <c r="A22" s="51">
        <v>14</v>
      </c>
      <c r="B22" s="6" t="s">
        <v>139</v>
      </c>
      <c r="C22" s="40" t="s">
        <v>8</v>
      </c>
      <c r="D22" s="40" t="s">
        <v>140</v>
      </c>
      <c r="E22" s="73" t="s">
        <v>2</v>
      </c>
      <c r="F22" s="26">
        <v>8</v>
      </c>
      <c r="G22" s="27">
        <v>8</v>
      </c>
      <c r="H22" s="27">
        <v>8</v>
      </c>
      <c r="I22" s="27">
        <v>8</v>
      </c>
      <c r="J22" s="64"/>
      <c r="K22" s="64"/>
      <c r="L22" s="27">
        <v>8</v>
      </c>
      <c r="M22" s="27">
        <v>8</v>
      </c>
      <c r="N22" s="27">
        <v>8</v>
      </c>
      <c r="O22" s="27">
        <v>8</v>
      </c>
      <c r="P22" s="35">
        <v>8</v>
      </c>
      <c r="Q22" s="64"/>
      <c r="R22" s="64"/>
      <c r="S22" s="35">
        <v>8</v>
      </c>
      <c r="T22" s="35">
        <v>8</v>
      </c>
      <c r="U22" s="35">
        <v>8</v>
      </c>
      <c r="V22" s="35">
        <v>8</v>
      </c>
      <c r="W22" s="35">
        <v>8</v>
      </c>
      <c r="X22" s="64"/>
      <c r="Y22" s="64"/>
      <c r="Z22" s="35">
        <v>8</v>
      </c>
      <c r="AA22" s="35">
        <v>8</v>
      </c>
      <c r="AB22" s="35">
        <v>8</v>
      </c>
      <c r="AC22" s="35">
        <v>8</v>
      </c>
      <c r="AD22" s="35">
        <v>8</v>
      </c>
      <c r="AE22" s="64"/>
      <c r="AF22" s="64"/>
      <c r="AG22" s="290" t="s">
        <v>177</v>
      </c>
      <c r="AH22" s="290" t="s">
        <v>177</v>
      </c>
      <c r="AI22" s="290" t="s">
        <v>177</v>
      </c>
      <c r="AJ22" s="290" t="s">
        <v>177</v>
      </c>
      <c r="AK22" s="82">
        <f t="shared" si="1"/>
        <v>152</v>
      </c>
      <c r="AL22" s="214">
        <f t="shared" si="0"/>
        <v>19</v>
      </c>
      <c r="AM22" s="243">
        <f t="shared" si="4"/>
        <v>49565.217391229999</v>
      </c>
      <c r="AN22" s="15"/>
    </row>
    <row r="23" spans="1:40" ht="35.1" customHeight="1" x14ac:dyDescent="0.25">
      <c r="A23" s="51">
        <v>15</v>
      </c>
      <c r="B23" s="6" t="s">
        <v>213</v>
      </c>
      <c r="C23" s="40" t="s">
        <v>6</v>
      </c>
      <c r="D23" s="40" t="s">
        <v>214</v>
      </c>
      <c r="E23" s="73" t="s">
        <v>2</v>
      </c>
      <c r="F23" s="30"/>
      <c r="G23" s="28"/>
      <c r="H23" s="28"/>
      <c r="I23" s="28"/>
      <c r="J23" s="64"/>
      <c r="K23" s="64"/>
      <c r="L23" s="28"/>
      <c r="M23" s="28"/>
      <c r="N23" s="28"/>
      <c r="O23" s="28"/>
      <c r="P23" s="28"/>
      <c r="Q23" s="64"/>
      <c r="R23" s="64"/>
      <c r="S23" s="28"/>
      <c r="T23" s="28"/>
      <c r="U23" s="28"/>
      <c r="V23" s="28"/>
      <c r="W23" s="28"/>
      <c r="X23" s="64"/>
      <c r="Y23" s="64"/>
      <c r="Z23" s="28"/>
      <c r="AA23" s="28"/>
      <c r="AB23" s="28"/>
      <c r="AC23" s="28"/>
      <c r="AD23" s="28"/>
      <c r="AE23" s="64"/>
      <c r="AF23" s="64"/>
      <c r="AG23" s="28"/>
      <c r="AH23" s="28"/>
      <c r="AI23" s="28"/>
      <c r="AJ23" s="292">
        <v>8</v>
      </c>
      <c r="AK23" s="82">
        <f t="shared" si="1"/>
        <v>8</v>
      </c>
      <c r="AL23" s="214">
        <f t="shared" si="0"/>
        <v>1</v>
      </c>
      <c r="AM23" s="243">
        <f t="shared" ref="AM23:AM27" si="5">AL23*2608</f>
        <v>2608</v>
      </c>
      <c r="AN23" s="15"/>
    </row>
    <row r="24" spans="1:40" ht="35.1" customHeight="1" x14ac:dyDescent="0.25">
      <c r="A24" s="51"/>
      <c r="B24" s="6" t="s">
        <v>35</v>
      </c>
      <c r="C24" s="40" t="s">
        <v>8</v>
      </c>
      <c r="D24" s="40"/>
      <c r="E24" s="73" t="s">
        <v>2</v>
      </c>
      <c r="F24" s="30"/>
      <c r="G24" s="28"/>
      <c r="H24" s="28"/>
      <c r="I24" s="28"/>
      <c r="J24" s="64"/>
      <c r="K24" s="64"/>
      <c r="L24" s="28"/>
      <c r="M24" s="28"/>
      <c r="N24" s="28"/>
      <c r="O24" s="28"/>
      <c r="P24" s="28"/>
      <c r="Q24" s="64"/>
      <c r="R24" s="64"/>
      <c r="S24" s="28"/>
      <c r="T24" s="28"/>
      <c r="U24" s="28"/>
      <c r="V24" s="28"/>
      <c r="W24" s="28"/>
      <c r="X24" s="64"/>
      <c r="Y24" s="64"/>
      <c r="Z24" s="28"/>
      <c r="AA24" s="28"/>
      <c r="AB24" s="28"/>
      <c r="AC24" s="28"/>
      <c r="AD24" s="28"/>
      <c r="AE24" s="64"/>
      <c r="AF24" s="64"/>
      <c r="AG24" s="28"/>
      <c r="AH24" s="28"/>
      <c r="AI24" s="28"/>
      <c r="AJ24" s="60"/>
      <c r="AK24" s="82">
        <f t="shared" si="1"/>
        <v>0</v>
      </c>
      <c r="AL24" s="214">
        <f t="shared" si="0"/>
        <v>0</v>
      </c>
      <c r="AM24" s="219">
        <f t="shared" si="5"/>
        <v>0</v>
      </c>
      <c r="AN24" s="17" t="s">
        <v>152</v>
      </c>
    </row>
    <row r="25" spans="1:40" ht="35.1" customHeight="1" x14ac:dyDescent="0.25">
      <c r="A25" s="51"/>
      <c r="B25" s="6" t="s">
        <v>35</v>
      </c>
      <c r="C25" s="40" t="s">
        <v>8</v>
      </c>
      <c r="D25" s="40"/>
      <c r="E25" s="73" t="s">
        <v>2</v>
      </c>
      <c r="F25" s="30"/>
      <c r="G25" s="28"/>
      <c r="H25" s="28"/>
      <c r="I25" s="28"/>
      <c r="J25" s="64"/>
      <c r="K25" s="64"/>
      <c r="L25" s="28"/>
      <c r="M25" s="28"/>
      <c r="N25" s="28"/>
      <c r="O25" s="28"/>
      <c r="P25" s="28"/>
      <c r="Q25" s="64"/>
      <c r="R25" s="64"/>
      <c r="S25" s="28"/>
      <c r="T25" s="28"/>
      <c r="U25" s="28"/>
      <c r="V25" s="28"/>
      <c r="W25" s="28"/>
      <c r="X25" s="64"/>
      <c r="Y25" s="64"/>
      <c r="Z25" s="28"/>
      <c r="AA25" s="28"/>
      <c r="AB25" s="28"/>
      <c r="AC25" s="28"/>
      <c r="AD25" s="28"/>
      <c r="AE25" s="64"/>
      <c r="AF25" s="64"/>
      <c r="AG25" s="28"/>
      <c r="AH25" s="28"/>
      <c r="AI25" s="28"/>
      <c r="AJ25" s="60"/>
      <c r="AK25" s="82">
        <f t="shared" si="1"/>
        <v>0</v>
      </c>
      <c r="AL25" s="214">
        <f t="shared" si="0"/>
        <v>0</v>
      </c>
      <c r="AM25" s="219">
        <f t="shared" si="5"/>
        <v>0</v>
      </c>
      <c r="AN25" s="17" t="s">
        <v>203</v>
      </c>
    </row>
    <row r="26" spans="1:40" ht="35.1" customHeight="1" x14ac:dyDescent="0.25">
      <c r="A26" s="51"/>
      <c r="B26" s="6" t="s">
        <v>35</v>
      </c>
      <c r="C26" s="40" t="s">
        <v>8</v>
      </c>
      <c r="D26" s="40"/>
      <c r="E26" s="73" t="s">
        <v>2</v>
      </c>
      <c r="F26" s="30"/>
      <c r="G26" s="28"/>
      <c r="H26" s="28"/>
      <c r="I26" s="28"/>
      <c r="J26" s="64"/>
      <c r="K26" s="64"/>
      <c r="L26" s="28"/>
      <c r="M26" s="28"/>
      <c r="N26" s="28"/>
      <c r="O26" s="28"/>
      <c r="P26" s="28"/>
      <c r="Q26" s="64"/>
      <c r="R26" s="64"/>
      <c r="S26" s="28"/>
      <c r="T26" s="28"/>
      <c r="U26" s="28"/>
      <c r="V26" s="28"/>
      <c r="W26" s="28"/>
      <c r="X26" s="64"/>
      <c r="Y26" s="64"/>
      <c r="Z26" s="28"/>
      <c r="AA26" s="28"/>
      <c r="AB26" s="28"/>
      <c r="AC26" s="28"/>
      <c r="AD26" s="28"/>
      <c r="AE26" s="64"/>
      <c r="AF26" s="64"/>
      <c r="AG26" s="28"/>
      <c r="AH26" s="28"/>
      <c r="AI26" s="28"/>
      <c r="AJ26" s="60"/>
      <c r="AK26" s="82">
        <f t="shared" si="1"/>
        <v>0</v>
      </c>
      <c r="AL26" s="214">
        <f t="shared" si="0"/>
        <v>0</v>
      </c>
      <c r="AM26" s="219">
        <f t="shared" si="5"/>
        <v>0</v>
      </c>
      <c r="AN26" s="15"/>
    </row>
    <row r="27" spans="1:40" ht="35.1" customHeight="1" thickBot="1" x14ac:dyDescent="0.3">
      <c r="A27" s="68"/>
      <c r="B27" s="48" t="s">
        <v>35</v>
      </c>
      <c r="C27" s="41" t="s">
        <v>8</v>
      </c>
      <c r="D27" s="41"/>
      <c r="E27" s="74" t="s">
        <v>2</v>
      </c>
      <c r="F27" s="31"/>
      <c r="G27" s="32"/>
      <c r="H27" s="32"/>
      <c r="I27" s="32"/>
      <c r="J27" s="65"/>
      <c r="K27" s="65"/>
      <c r="L27" s="32"/>
      <c r="M27" s="32"/>
      <c r="N27" s="32"/>
      <c r="O27" s="32"/>
      <c r="P27" s="32"/>
      <c r="Q27" s="65"/>
      <c r="R27" s="65"/>
      <c r="S27" s="32"/>
      <c r="T27" s="32"/>
      <c r="U27" s="32"/>
      <c r="V27" s="32"/>
      <c r="W27" s="32"/>
      <c r="X27" s="65"/>
      <c r="Y27" s="65"/>
      <c r="Z27" s="32"/>
      <c r="AA27" s="32"/>
      <c r="AB27" s="32"/>
      <c r="AC27" s="32"/>
      <c r="AD27" s="32"/>
      <c r="AE27" s="65"/>
      <c r="AF27" s="65"/>
      <c r="AG27" s="32"/>
      <c r="AH27" s="32"/>
      <c r="AI27" s="32"/>
      <c r="AJ27" s="61"/>
      <c r="AK27" s="84">
        <f t="shared" si="1"/>
        <v>0</v>
      </c>
      <c r="AL27" s="59">
        <f t="shared" si="0"/>
        <v>0</v>
      </c>
      <c r="AM27" s="219">
        <f t="shared" si="5"/>
        <v>0</v>
      </c>
      <c r="AN27" s="15"/>
    </row>
    <row r="28" spans="1:40" ht="24.75" customHeight="1" thickBot="1" x14ac:dyDescent="0.3">
      <c r="A28" s="374" t="s">
        <v>24</v>
      </c>
      <c r="B28" s="375"/>
      <c r="C28" s="375"/>
      <c r="D28" s="375"/>
      <c r="E28" s="375"/>
      <c r="F28" s="95">
        <f>COUNT(F7:F27)</f>
        <v>12</v>
      </c>
      <c r="G28" s="96">
        <f t="shared" ref="G28:AJ28" si="6">COUNT(G7:G27)</f>
        <v>12</v>
      </c>
      <c r="H28" s="96">
        <f t="shared" si="6"/>
        <v>12</v>
      </c>
      <c r="I28" s="96">
        <f t="shared" si="6"/>
        <v>13</v>
      </c>
      <c r="J28" s="96">
        <f t="shared" si="6"/>
        <v>4</v>
      </c>
      <c r="K28" s="96">
        <f t="shared" si="6"/>
        <v>1</v>
      </c>
      <c r="L28" s="96">
        <f t="shared" si="6"/>
        <v>13</v>
      </c>
      <c r="M28" s="96">
        <f t="shared" si="6"/>
        <v>14</v>
      </c>
      <c r="N28" s="96">
        <f t="shared" si="6"/>
        <v>14</v>
      </c>
      <c r="O28" s="96">
        <f t="shared" si="6"/>
        <v>14</v>
      </c>
      <c r="P28" s="96">
        <f t="shared" si="6"/>
        <v>14</v>
      </c>
      <c r="Q28" s="96">
        <f t="shared" si="6"/>
        <v>3</v>
      </c>
      <c r="R28" s="96">
        <f t="shared" si="6"/>
        <v>3</v>
      </c>
      <c r="S28" s="96">
        <f t="shared" si="6"/>
        <v>13</v>
      </c>
      <c r="T28" s="96">
        <f t="shared" si="6"/>
        <v>14</v>
      </c>
      <c r="U28" s="96">
        <f t="shared" si="6"/>
        <v>15</v>
      </c>
      <c r="V28" s="96">
        <f t="shared" si="6"/>
        <v>15</v>
      </c>
      <c r="W28" s="96">
        <f t="shared" si="6"/>
        <v>14</v>
      </c>
      <c r="X28" s="96">
        <f t="shared" si="6"/>
        <v>1</v>
      </c>
      <c r="Y28" s="96">
        <f t="shared" si="6"/>
        <v>2</v>
      </c>
      <c r="Z28" s="96">
        <f t="shared" si="6"/>
        <v>13</v>
      </c>
      <c r="AA28" s="96">
        <f t="shared" si="6"/>
        <v>14</v>
      </c>
      <c r="AB28" s="96">
        <f t="shared" si="6"/>
        <v>14</v>
      </c>
      <c r="AC28" s="96">
        <f t="shared" si="6"/>
        <v>14</v>
      </c>
      <c r="AD28" s="96">
        <f t="shared" si="6"/>
        <v>14</v>
      </c>
      <c r="AE28" s="96">
        <f t="shared" si="6"/>
        <v>2</v>
      </c>
      <c r="AF28" s="96">
        <f t="shared" si="6"/>
        <v>1</v>
      </c>
      <c r="AG28" s="96">
        <f t="shared" si="6"/>
        <v>13</v>
      </c>
      <c r="AH28" s="96">
        <f t="shared" si="6"/>
        <v>11</v>
      </c>
      <c r="AI28" s="96">
        <f t="shared" si="6"/>
        <v>11</v>
      </c>
      <c r="AJ28" s="97">
        <f t="shared" si="6"/>
        <v>12</v>
      </c>
      <c r="AK28" s="221">
        <f>SUM(AK11:AK27)</f>
        <v>1974</v>
      </c>
      <c r="AL28" s="217">
        <f>SUM(AL11:AL27)</f>
        <v>243</v>
      </c>
      <c r="AM28" s="244">
        <f>AN28-AM11-AM12-AM13-AM14-AM15-AM16-AM17-AM18-AM19-AM20-AM21-AM22</f>
        <v>393478.26087065984</v>
      </c>
      <c r="AN28" s="16">
        <v>1096400</v>
      </c>
    </row>
    <row r="29" spans="1:40" ht="40.5" customHeight="1" thickBot="1" x14ac:dyDescent="0.3">
      <c r="A29" s="378" t="s">
        <v>190</v>
      </c>
      <c r="B29" s="379"/>
      <c r="C29" s="379"/>
      <c r="D29" s="379"/>
      <c r="E29" s="379"/>
      <c r="F29" s="379"/>
      <c r="G29" s="379"/>
      <c r="H29" s="379"/>
      <c r="I29" s="379"/>
      <c r="J29" s="379"/>
      <c r="K29" s="379"/>
      <c r="L29" s="379"/>
      <c r="M29" s="379"/>
      <c r="N29" s="379"/>
      <c r="O29" s="379"/>
      <c r="P29" s="379"/>
      <c r="Q29" s="379"/>
      <c r="R29" s="379"/>
      <c r="S29" s="379"/>
      <c r="T29" s="379"/>
      <c r="U29" s="379"/>
      <c r="V29" s="379"/>
      <c r="W29" s="379"/>
      <c r="X29" s="379"/>
      <c r="Y29" s="379"/>
      <c r="Z29" s="379"/>
      <c r="AA29" s="379"/>
      <c r="AB29" s="379"/>
      <c r="AC29" s="379"/>
      <c r="AD29" s="379"/>
      <c r="AE29" s="379"/>
      <c r="AF29" s="379"/>
      <c r="AG29" s="379"/>
      <c r="AH29" s="379"/>
      <c r="AI29" s="379"/>
      <c r="AJ29" s="379"/>
      <c r="AK29" s="379"/>
      <c r="AL29" s="379"/>
      <c r="AM29" s="380"/>
      <c r="AN29" s="16"/>
    </row>
    <row r="30" spans="1:40" ht="35.1" customHeight="1" x14ac:dyDescent="0.25">
      <c r="A30" s="69">
        <v>16</v>
      </c>
      <c r="B30" s="70" t="s">
        <v>104</v>
      </c>
      <c r="C30" s="71" t="s">
        <v>25</v>
      </c>
      <c r="D30" s="71" t="s">
        <v>26</v>
      </c>
      <c r="E30" s="91" t="s">
        <v>2</v>
      </c>
      <c r="F30" s="88">
        <v>8</v>
      </c>
      <c r="G30" s="35">
        <v>8</v>
      </c>
      <c r="H30" s="35">
        <v>8</v>
      </c>
      <c r="I30" s="35">
        <v>8</v>
      </c>
      <c r="J30" s="89"/>
      <c r="K30" s="90">
        <v>8</v>
      </c>
      <c r="L30" s="35">
        <v>8</v>
      </c>
      <c r="M30" s="35">
        <v>8</v>
      </c>
      <c r="N30" s="35">
        <v>8</v>
      </c>
      <c r="O30" s="35">
        <v>8</v>
      </c>
      <c r="P30" s="35">
        <v>8</v>
      </c>
      <c r="Q30" s="206">
        <v>8</v>
      </c>
      <c r="R30" s="206">
        <v>8</v>
      </c>
      <c r="S30" s="35">
        <v>8</v>
      </c>
      <c r="T30" s="35">
        <v>8</v>
      </c>
      <c r="U30" s="35">
        <v>8</v>
      </c>
      <c r="V30" s="35">
        <v>8</v>
      </c>
      <c r="W30" s="35">
        <v>8</v>
      </c>
      <c r="X30" s="206">
        <v>8</v>
      </c>
      <c r="Y30" s="89"/>
      <c r="Z30" s="35">
        <v>8</v>
      </c>
      <c r="AA30" s="35">
        <v>8</v>
      </c>
      <c r="AB30" s="35">
        <v>8</v>
      </c>
      <c r="AC30" s="35">
        <v>8</v>
      </c>
      <c r="AD30" s="35">
        <v>11</v>
      </c>
      <c r="AE30" s="206">
        <v>11</v>
      </c>
      <c r="AF30" s="213">
        <v>8</v>
      </c>
      <c r="AG30" s="35">
        <v>8</v>
      </c>
      <c r="AH30" s="35">
        <v>8</v>
      </c>
      <c r="AI30" s="35">
        <v>8</v>
      </c>
      <c r="AJ30" s="35">
        <v>8</v>
      </c>
      <c r="AK30" s="83">
        <f>SUM(F30:AJ30)</f>
        <v>238</v>
      </c>
      <c r="AL30" s="215">
        <f>AK30/8</f>
        <v>29.75</v>
      </c>
      <c r="AM30" s="245">
        <f>SUM(AL30*3913.04347826)</f>
        <v>116413.04347823501</v>
      </c>
      <c r="AN30" s="15" t="s">
        <v>124</v>
      </c>
    </row>
    <row r="31" spans="1:40" ht="35.1" customHeight="1" x14ac:dyDescent="0.25">
      <c r="A31" s="69">
        <v>17</v>
      </c>
      <c r="B31" s="6" t="s">
        <v>28</v>
      </c>
      <c r="C31" s="42" t="s">
        <v>34</v>
      </c>
      <c r="D31" s="92" t="s">
        <v>29</v>
      </c>
      <c r="E31" s="73" t="s">
        <v>23</v>
      </c>
      <c r="F31" s="26">
        <v>11</v>
      </c>
      <c r="G31" s="27">
        <v>11</v>
      </c>
      <c r="H31" s="28"/>
      <c r="I31" s="28"/>
      <c r="J31" s="27">
        <v>11</v>
      </c>
      <c r="K31" s="27">
        <v>11</v>
      </c>
      <c r="L31" s="28"/>
      <c r="M31" s="28"/>
      <c r="N31" s="100">
        <v>11</v>
      </c>
      <c r="O31" s="27">
        <v>11</v>
      </c>
      <c r="P31" s="28"/>
      <c r="Q31" s="64"/>
      <c r="R31" s="27">
        <v>11</v>
      </c>
      <c r="S31" s="27">
        <v>11</v>
      </c>
      <c r="T31" s="28"/>
      <c r="U31" s="28"/>
      <c r="V31" s="27">
        <v>11</v>
      </c>
      <c r="W31" s="27">
        <v>11</v>
      </c>
      <c r="X31" s="64"/>
      <c r="Y31" s="64"/>
      <c r="Z31" s="27">
        <v>11</v>
      </c>
      <c r="AA31" s="27">
        <v>11</v>
      </c>
      <c r="AB31" s="28"/>
      <c r="AC31" s="28"/>
      <c r="AD31" s="27">
        <v>11</v>
      </c>
      <c r="AE31" s="27">
        <v>11</v>
      </c>
      <c r="AF31" s="210"/>
      <c r="AG31" s="28"/>
      <c r="AH31" s="27">
        <v>11</v>
      </c>
      <c r="AI31" s="27">
        <v>11</v>
      </c>
      <c r="AJ31" s="60"/>
      <c r="AK31" s="83">
        <f>SUM(F31:AJ31)</f>
        <v>176</v>
      </c>
      <c r="AL31" s="215">
        <v>16</v>
      </c>
      <c r="AM31" s="243">
        <f>AL31*3937.5</f>
        <v>63000</v>
      </c>
      <c r="AN31" s="15" t="s">
        <v>124</v>
      </c>
    </row>
    <row r="32" spans="1:40" ht="35.1" customHeight="1" x14ac:dyDescent="0.25">
      <c r="A32" s="69">
        <v>18</v>
      </c>
      <c r="B32" s="6" t="s">
        <v>30</v>
      </c>
      <c r="C32" s="42" t="s">
        <v>34</v>
      </c>
      <c r="D32" s="92" t="s">
        <v>31</v>
      </c>
      <c r="E32" s="73" t="s">
        <v>23</v>
      </c>
      <c r="F32" s="30"/>
      <c r="G32" s="28"/>
      <c r="H32" s="27">
        <v>11</v>
      </c>
      <c r="I32" s="27">
        <v>11</v>
      </c>
      <c r="J32" s="64"/>
      <c r="K32" s="64"/>
      <c r="L32" s="27">
        <v>11</v>
      </c>
      <c r="M32" s="27">
        <v>11</v>
      </c>
      <c r="N32" s="28"/>
      <c r="O32" s="28"/>
      <c r="P32" s="27">
        <v>11</v>
      </c>
      <c r="Q32" s="27">
        <v>11</v>
      </c>
      <c r="R32" s="64"/>
      <c r="S32" s="28"/>
      <c r="T32" s="27">
        <v>11</v>
      </c>
      <c r="U32" s="27">
        <v>11</v>
      </c>
      <c r="V32" s="28"/>
      <c r="W32" s="28"/>
      <c r="X32" s="27">
        <v>11</v>
      </c>
      <c r="Y32" s="27">
        <v>11</v>
      </c>
      <c r="Z32" s="28"/>
      <c r="AA32" s="28"/>
      <c r="AB32" s="27">
        <v>11</v>
      </c>
      <c r="AC32" s="27">
        <v>11</v>
      </c>
      <c r="AD32" s="28"/>
      <c r="AE32" s="210"/>
      <c r="AF32" s="27">
        <v>11</v>
      </c>
      <c r="AG32" s="27">
        <v>11</v>
      </c>
      <c r="AH32" s="28"/>
      <c r="AI32" s="28"/>
      <c r="AJ32" s="27">
        <v>11</v>
      </c>
      <c r="AK32" s="83">
        <f t="shared" ref="AK32:AK37" si="7">SUM(F32:AJ32)</f>
        <v>165</v>
      </c>
      <c r="AL32" s="215">
        <f t="shared" ref="AL32:AL37" si="8">AK32/11</f>
        <v>15</v>
      </c>
      <c r="AM32" s="243">
        <f>SUM(AL32*4200)</f>
        <v>63000</v>
      </c>
      <c r="AN32" s="15" t="s">
        <v>124</v>
      </c>
    </row>
    <row r="33" spans="1:40" ht="35.1" customHeight="1" x14ac:dyDescent="0.25">
      <c r="A33" s="69">
        <v>19</v>
      </c>
      <c r="B33" s="6" t="s">
        <v>32</v>
      </c>
      <c r="C33" s="42" t="s">
        <v>27</v>
      </c>
      <c r="D33" s="92" t="s">
        <v>33</v>
      </c>
      <c r="E33" s="73" t="s">
        <v>23</v>
      </c>
      <c r="F33" s="26">
        <v>11</v>
      </c>
      <c r="G33" s="27">
        <v>11</v>
      </c>
      <c r="H33" s="28"/>
      <c r="I33" s="28"/>
      <c r="J33" s="27">
        <v>11</v>
      </c>
      <c r="K33" s="27">
        <v>11</v>
      </c>
      <c r="L33" s="28"/>
      <c r="M33" s="28"/>
      <c r="N33" s="27">
        <v>11</v>
      </c>
      <c r="O33" s="27">
        <v>11</v>
      </c>
      <c r="P33" s="28"/>
      <c r="Q33" s="64"/>
      <c r="R33" s="27">
        <v>11</v>
      </c>
      <c r="S33" s="27">
        <v>11</v>
      </c>
      <c r="T33" s="28"/>
      <c r="U33" s="28"/>
      <c r="V33" s="27">
        <v>11</v>
      </c>
      <c r="W33" s="27">
        <v>11</v>
      </c>
      <c r="X33" s="210"/>
      <c r="Y33" s="210"/>
      <c r="Z33" s="27">
        <v>11</v>
      </c>
      <c r="AA33" s="27">
        <v>11</v>
      </c>
      <c r="AB33" s="28"/>
      <c r="AC33" s="28"/>
      <c r="AD33" s="285" t="s">
        <v>172</v>
      </c>
      <c r="AE33" s="285" t="s">
        <v>172</v>
      </c>
      <c r="AF33" s="210"/>
      <c r="AG33" s="28"/>
      <c r="AH33" s="27">
        <v>11</v>
      </c>
      <c r="AI33" s="27">
        <v>11</v>
      </c>
      <c r="AJ33" s="60"/>
      <c r="AK33" s="83">
        <f t="shared" si="7"/>
        <v>154</v>
      </c>
      <c r="AL33" s="215">
        <f t="shared" si="8"/>
        <v>14</v>
      </c>
      <c r="AM33" s="243">
        <f>SUM(AL33*3537.5)</f>
        <v>49525</v>
      </c>
      <c r="AN33" s="15" t="s">
        <v>124</v>
      </c>
    </row>
    <row r="34" spans="1:40" ht="35.1" customHeight="1" x14ac:dyDescent="0.25">
      <c r="A34" s="69">
        <v>20</v>
      </c>
      <c r="B34" s="6" t="s">
        <v>142</v>
      </c>
      <c r="C34" s="42" t="s">
        <v>27</v>
      </c>
      <c r="D34" s="92" t="s">
        <v>141</v>
      </c>
      <c r="E34" s="73" t="s">
        <v>23</v>
      </c>
      <c r="F34" s="30"/>
      <c r="G34" s="28"/>
      <c r="H34" s="27">
        <v>11</v>
      </c>
      <c r="I34" s="27">
        <v>11</v>
      </c>
      <c r="J34" s="64"/>
      <c r="K34" s="64"/>
      <c r="L34" s="27">
        <v>11</v>
      </c>
      <c r="M34" s="27">
        <v>11</v>
      </c>
      <c r="N34" s="28"/>
      <c r="O34" s="28"/>
      <c r="P34" s="27">
        <v>11</v>
      </c>
      <c r="Q34" s="27">
        <v>11</v>
      </c>
      <c r="R34" s="64"/>
      <c r="S34" s="28"/>
      <c r="T34" s="27">
        <v>11</v>
      </c>
      <c r="U34" s="27">
        <v>11</v>
      </c>
      <c r="V34" s="28"/>
      <c r="W34" s="28"/>
      <c r="X34" s="27">
        <v>11</v>
      </c>
      <c r="Y34" s="27">
        <v>11</v>
      </c>
      <c r="Z34" s="28"/>
      <c r="AA34" s="28"/>
      <c r="AB34" s="27">
        <v>11</v>
      </c>
      <c r="AC34" s="27">
        <v>11</v>
      </c>
      <c r="AD34" s="28"/>
      <c r="AE34" s="210"/>
      <c r="AF34" s="27">
        <v>11</v>
      </c>
      <c r="AG34" s="27">
        <v>11</v>
      </c>
      <c r="AH34" s="28"/>
      <c r="AI34" s="28"/>
      <c r="AJ34" s="27">
        <v>11</v>
      </c>
      <c r="AK34" s="83">
        <f t="shared" si="7"/>
        <v>165</v>
      </c>
      <c r="AL34" s="215">
        <f t="shared" si="8"/>
        <v>15</v>
      </c>
      <c r="AM34" s="243">
        <f>SUM(AL34*3773.33333333)</f>
        <v>56599.99999995</v>
      </c>
      <c r="AN34" s="15" t="s">
        <v>124</v>
      </c>
    </row>
    <row r="35" spans="1:40" ht="35.1" customHeight="1" x14ac:dyDescent="0.25">
      <c r="A35" s="52"/>
      <c r="B35" s="6" t="s">
        <v>35</v>
      </c>
      <c r="C35" s="42" t="s">
        <v>27</v>
      </c>
      <c r="D35" s="92"/>
      <c r="E35" s="73" t="s">
        <v>23</v>
      </c>
      <c r="F35" s="30"/>
      <c r="G35" s="28"/>
      <c r="H35" s="28"/>
      <c r="I35" s="28"/>
      <c r="J35" s="64"/>
      <c r="K35" s="64"/>
      <c r="L35" s="28"/>
      <c r="M35" s="28"/>
      <c r="N35" s="28"/>
      <c r="O35" s="28"/>
      <c r="P35" s="28"/>
      <c r="Q35" s="64"/>
      <c r="R35" s="64"/>
      <c r="S35" s="28"/>
      <c r="T35" s="28"/>
      <c r="U35" s="28"/>
      <c r="V35" s="28"/>
      <c r="W35" s="28"/>
      <c r="X35" s="64"/>
      <c r="Y35" s="64"/>
      <c r="Z35" s="28"/>
      <c r="AA35" s="28"/>
      <c r="AB35" s="28"/>
      <c r="AC35" s="28"/>
      <c r="AD35" s="28"/>
      <c r="AE35" s="64"/>
      <c r="AF35" s="64"/>
      <c r="AG35" s="28"/>
      <c r="AH35" s="28"/>
      <c r="AI35" s="28"/>
      <c r="AJ35" s="60"/>
      <c r="AK35" s="83">
        <f t="shared" si="7"/>
        <v>0</v>
      </c>
      <c r="AL35" s="215">
        <f t="shared" si="8"/>
        <v>0</v>
      </c>
      <c r="AM35" s="243">
        <f t="shared" ref="AM35:AM37" si="9">SUM(AL35*3913)</f>
        <v>0</v>
      </c>
      <c r="AN35" s="17" t="s">
        <v>204</v>
      </c>
    </row>
    <row r="36" spans="1:40" ht="35.1" customHeight="1" x14ac:dyDescent="0.25">
      <c r="A36" s="52"/>
      <c r="B36" s="6" t="s">
        <v>35</v>
      </c>
      <c r="C36" s="42" t="s">
        <v>27</v>
      </c>
      <c r="D36" s="92"/>
      <c r="E36" s="73" t="s">
        <v>23</v>
      </c>
      <c r="F36" s="30"/>
      <c r="G36" s="28"/>
      <c r="H36" s="28"/>
      <c r="I36" s="28"/>
      <c r="J36" s="64"/>
      <c r="K36" s="64"/>
      <c r="L36" s="28"/>
      <c r="M36" s="28"/>
      <c r="N36" s="28"/>
      <c r="O36" s="28"/>
      <c r="P36" s="28"/>
      <c r="Q36" s="64"/>
      <c r="R36" s="64"/>
      <c r="S36" s="28"/>
      <c r="T36" s="28"/>
      <c r="U36" s="28"/>
      <c r="V36" s="28"/>
      <c r="W36" s="28"/>
      <c r="X36" s="64"/>
      <c r="Y36" s="64"/>
      <c r="Z36" s="28"/>
      <c r="AA36" s="28"/>
      <c r="AB36" s="28"/>
      <c r="AC36" s="28"/>
      <c r="AD36" s="28"/>
      <c r="AE36" s="64"/>
      <c r="AF36" s="64"/>
      <c r="AG36" s="28"/>
      <c r="AH36" s="28"/>
      <c r="AI36" s="28"/>
      <c r="AJ36" s="60"/>
      <c r="AK36" s="83">
        <f t="shared" si="7"/>
        <v>0</v>
      </c>
      <c r="AL36" s="215">
        <f t="shared" si="8"/>
        <v>0</v>
      </c>
      <c r="AM36" s="243">
        <f t="shared" si="9"/>
        <v>0</v>
      </c>
      <c r="AN36" s="15"/>
    </row>
    <row r="37" spans="1:40" ht="35.1" customHeight="1" thickBot="1" x14ac:dyDescent="0.3">
      <c r="A37" s="94"/>
      <c r="B37" s="48" t="s">
        <v>35</v>
      </c>
      <c r="C37" s="43" t="s">
        <v>27</v>
      </c>
      <c r="D37" s="93"/>
      <c r="E37" s="74" t="s">
        <v>23</v>
      </c>
      <c r="F37" s="31"/>
      <c r="G37" s="32"/>
      <c r="H37" s="32"/>
      <c r="I37" s="32"/>
      <c r="J37" s="65"/>
      <c r="K37" s="65"/>
      <c r="L37" s="32"/>
      <c r="M37" s="32"/>
      <c r="N37" s="32"/>
      <c r="O37" s="32"/>
      <c r="P37" s="32"/>
      <c r="Q37" s="65"/>
      <c r="R37" s="65"/>
      <c r="S37" s="32"/>
      <c r="T37" s="32"/>
      <c r="U37" s="32"/>
      <c r="V37" s="32"/>
      <c r="W37" s="32"/>
      <c r="X37" s="65"/>
      <c r="Y37" s="65"/>
      <c r="Z37" s="32"/>
      <c r="AA37" s="32"/>
      <c r="AB37" s="32"/>
      <c r="AC37" s="32"/>
      <c r="AD37" s="32"/>
      <c r="AE37" s="65"/>
      <c r="AF37" s="65"/>
      <c r="AG37" s="32"/>
      <c r="AH37" s="32"/>
      <c r="AI37" s="32"/>
      <c r="AJ37" s="61"/>
      <c r="AK37" s="105">
        <f t="shared" si="7"/>
        <v>0</v>
      </c>
      <c r="AL37" s="216">
        <f t="shared" si="8"/>
        <v>0</v>
      </c>
      <c r="AM37" s="243">
        <f t="shared" si="9"/>
        <v>0</v>
      </c>
      <c r="AN37" s="15"/>
    </row>
    <row r="38" spans="1:40" ht="23.25" customHeight="1" thickBot="1" x14ac:dyDescent="0.3">
      <c r="A38" s="365" t="s">
        <v>24</v>
      </c>
      <c r="B38" s="366"/>
      <c r="C38" s="366"/>
      <c r="D38" s="366"/>
      <c r="E38" s="367"/>
      <c r="F38" s="95">
        <f>COUNT(F30:F37)</f>
        <v>3</v>
      </c>
      <c r="G38" s="96">
        <f t="shared" ref="G38:AJ38" si="10">COUNT(G30:G37)</f>
        <v>3</v>
      </c>
      <c r="H38" s="96">
        <f t="shared" si="10"/>
        <v>3</v>
      </c>
      <c r="I38" s="96">
        <f t="shared" si="10"/>
        <v>3</v>
      </c>
      <c r="J38" s="96">
        <f t="shared" si="10"/>
        <v>2</v>
      </c>
      <c r="K38" s="96">
        <f t="shared" si="10"/>
        <v>3</v>
      </c>
      <c r="L38" s="96">
        <f t="shared" si="10"/>
        <v>3</v>
      </c>
      <c r="M38" s="96">
        <f t="shared" si="10"/>
        <v>3</v>
      </c>
      <c r="N38" s="96">
        <f t="shared" si="10"/>
        <v>3</v>
      </c>
      <c r="O38" s="96">
        <f t="shared" si="10"/>
        <v>3</v>
      </c>
      <c r="P38" s="96">
        <f t="shared" si="10"/>
        <v>3</v>
      </c>
      <c r="Q38" s="96">
        <f t="shared" si="10"/>
        <v>3</v>
      </c>
      <c r="R38" s="96">
        <f t="shared" si="10"/>
        <v>3</v>
      </c>
      <c r="S38" s="96">
        <f t="shared" si="10"/>
        <v>3</v>
      </c>
      <c r="T38" s="96">
        <f t="shared" si="10"/>
        <v>3</v>
      </c>
      <c r="U38" s="96">
        <f t="shared" si="10"/>
        <v>3</v>
      </c>
      <c r="V38" s="96">
        <f t="shared" si="10"/>
        <v>3</v>
      </c>
      <c r="W38" s="96">
        <f t="shared" si="10"/>
        <v>3</v>
      </c>
      <c r="X38" s="96">
        <f t="shared" si="10"/>
        <v>3</v>
      </c>
      <c r="Y38" s="96">
        <f t="shared" si="10"/>
        <v>2</v>
      </c>
      <c r="Z38" s="96">
        <f t="shared" si="10"/>
        <v>3</v>
      </c>
      <c r="AA38" s="96">
        <f t="shared" si="10"/>
        <v>3</v>
      </c>
      <c r="AB38" s="96">
        <f t="shared" si="10"/>
        <v>3</v>
      </c>
      <c r="AC38" s="96">
        <f t="shared" si="10"/>
        <v>3</v>
      </c>
      <c r="AD38" s="96">
        <f t="shared" si="10"/>
        <v>2</v>
      </c>
      <c r="AE38" s="96">
        <f t="shared" si="10"/>
        <v>2</v>
      </c>
      <c r="AF38" s="96">
        <f t="shared" si="10"/>
        <v>3</v>
      </c>
      <c r="AG38" s="96">
        <f t="shared" si="10"/>
        <v>3</v>
      </c>
      <c r="AH38" s="96">
        <f t="shared" si="10"/>
        <v>3</v>
      </c>
      <c r="AI38" s="96">
        <f t="shared" si="10"/>
        <v>3</v>
      </c>
      <c r="AJ38" s="97">
        <f t="shared" si="10"/>
        <v>3</v>
      </c>
      <c r="AK38" s="95">
        <f>SUM(AK30:AK37)</f>
        <v>898</v>
      </c>
      <c r="AL38" s="217">
        <f>SUM(AL30:AL37)</f>
        <v>89.75</v>
      </c>
      <c r="AM38" s="244">
        <f>AN38-AM30-AM31-AM32-AM33-AM34</f>
        <v>150461.95652181498</v>
      </c>
      <c r="AN38" s="205">
        <v>499000</v>
      </c>
    </row>
    <row r="39" spans="1:40" ht="40.5" customHeight="1" thickBot="1" x14ac:dyDescent="0.3">
      <c r="A39" s="378" t="s">
        <v>191</v>
      </c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  <c r="AK39" s="379"/>
      <c r="AL39" s="379"/>
      <c r="AM39" s="380"/>
      <c r="AN39" s="16"/>
    </row>
    <row r="40" spans="1:40" ht="37.5" customHeight="1" x14ac:dyDescent="0.25">
      <c r="A40" s="69">
        <v>21</v>
      </c>
      <c r="B40" s="70" t="s">
        <v>39</v>
      </c>
      <c r="C40" s="71" t="s">
        <v>36</v>
      </c>
      <c r="D40" s="71" t="s">
        <v>40</v>
      </c>
      <c r="E40" s="91" t="s">
        <v>2</v>
      </c>
      <c r="F40" s="88">
        <v>8</v>
      </c>
      <c r="G40" s="35">
        <v>8</v>
      </c>
      <c r="H40" s="35">
        <v>8</v>
      </c>
      <c r="I40" s="35">
        <v>8</v>
      </c>
      <c r="J40" s="206">
        <v>8</v>
      </c>
      <c r="K40" s="89"/>
      <c r="L40" s="35">
        <v>8</v>
      </c>
      <c r="M40" s="35">
        <v>8</v>
      </c>
      <c r="N40" s="35">
        <v>8</v>
      </c>
      <c r="O40" s="35">
        <v>11</v>
      </c>
      <c r="P40" s="35">
        <v>8</v>
      </c>
      <c r="Q40" s="206">
        <v>8</v>
      </c>
      <c r="R40" s="206">
        <v>8</v>
      </c>
      <c r="S40" s="35">
        <v>8</v>
      </c>
      <c r="T40" s="35">
        <v>8</v>
      </c>
      <c r="U40" s="35">
        <v>8</v>
      </c>
      <c r="V40" s="35">
        <v>8</v>
      </c>
      <c r="W40" s="35">
        <v>8</v>
      </c>
      <c r="X40" s="206">
        <v>4</v>
      </c>
      <c r="Y40" s="206">
        <v>4</v>
      </c>
      <c r="Z40" s="35">
        <v>8</v>
      </c>
      <c r="AA40" s="35">
        <v>8</v>
      </c>
      <c r="AB40" s="35">
        <v>8</v>
      </c>
      <c r="AC40" s="35">
        <v>8</v>
      </c>
      <c r="AD40" s="35">
        <v>8</v>
      </c>
      <c r="AE40" s="206">
        <v>8</v>
      </c>
      <c r="AF40" s="89"/>
      <c r="AG40" s="35">
        <v>8</v>
      </c>
      <c r="AH40" s="35">
        <v>8</v>
      </c>
      <c r="AI40" s="35">
        <v>8</v>
      </c>
      <c r="AJ40" s="35">
        <v>8</v>
      </c>
      <c r="AK40" s="83">
        <f>SUM(F40:AJ40)</f>
        <v>227</v>
      </c>
      <c r="AL40" s="215">
        <f>AK40/8</f>
        <v>28.375</v>
      </c>
      <c r="AM40" s="245">
        <f>AL40*3913</f>
        <v>111031.375</v>
      </c>
      <c r="AN40" s="15" t="s">
        <v>124</v>
      </c>
    </row>
    <row r="41" spans="1:40" ht="35.1" customHeight="1" x14ac:dyDescent="0.25">
      <c r="A41" s="69">
        <v>22</v>
      </c>
      <c r="B41" s="6" t="s">
        <v>41</v>
      </c>
      <c r="C41" s="44" t="s">
        <v>38</v>
      </c>
      <c r="D41" s="92" t="s">
        <v>42</v>
      </c>
      <c r="E41" s="73" t="s">
        <v>23</v>
      </c>
      <c r="F41" s="26">
        <v>11</v>
      </c>
      <c r="G41" s="28"/>
      <c r="H41" s="28"/>
      <c r="I41" s="27">
        <v>11</v>
      </c>
      <c r="J41" s="27">
        <v>11</v>
      </c>
      <c r="K41" s="64"/>
      <c r="L41" s="28"/>
      <c r="M41" s="27">
        <v>11</v>
      </c>
      <c r="N41" s="27">
        <v>11</v>
      </c>
      <c r="O41" s="28"/>
      <c r="P41" s="28"/>
      <c r="Q41" s="27">
        <v>11</v>
      </c>
      <c r="R41" s="27">
        <v>11</v>
      </c>
      <c r="S41" s="28"/>
      <c r="T41" s="28"/>
      <c r="U41" s="27">
        <v>11</v>
      </c>
      <c r="V41" s="27">
        <v>11</v>
      </c>
      <c r="W41" s="28"/>
      <c r="X41" s="64"/>
      <c r="Y41" s="27">
        <v>11</v>
      </c>
      <c r="Z41" s="27">
        <v>11</v>
      </c>
      <c r="AA41" s="28"/>
      <c r="AB41" s="28"/>
      <c r="AC41" s="27">
        <v>11</v>
      </c>
      <c r="AD41" s="27">
        <v>11</v>
      </c>
      <c r="AE41" s="64"/>
      <c r="AF41" s="64"/>
      <c r="AG41" s="27">
        <v>11</v>
      </c>
      <c r="AH41" s="27">
        <v>11</v>
      </c>
      <c r="AI41" s="28"/>
      <c r="AJ41" s="60"/>
      <c r="AK41" s="83">
        <f>SUM(F41:AJ41)</f>
        <v>165</v>
      </c>
      <c r="AL41" s="215">
        <f>AK41/11</f>
        <v>15</v>
      </c>
      <c r="AM41" s="243">
        <v>56600</v>
      </c>
      <c r="AN41" s="15" t="s">
        <v>124</v>
      </c>
    </row>
    <row r="42" spans="1:40" ht="35.1" customHeight="1" x14ac:dyDescent="0.25">
      <c r="A42" s="69">
        <v>23</v>
      </c>
      <c r="B42" s="6" t="s">
        <v>43</v>
      </c>
      <c r="C42" s="44" t="s">
        <v>38</v>
      </c>
      <c r="D42" s="92" t="s">
        <v>44</v>
      </c>
      <c r="E42" s="73" t="s">
        <v>23</v>
      </c>
      <c r="F42" s="26">
        <v>11</v>
      </c>
      <c r="G42" s="28"/>
      <c r="H42" s="28"/>
      <c r="I42" s="27">
        <v>11</v>
      </c>
      <c r="J42" s="27">
        <v>11</v>
      </c>
      <c r="K42" s="64"/>
      <c r="L42" s="28"/>
      <c r="M42" s="27">
        <v>11</v>
      </c>
      <c r="N42" s="27">
        <v>11</v>
      </c>
      <c r="O42" s="28"/>
      <c r="P42" s="28"/>
      <c r="Q42" s="27">
        <v>11</v>
      </c>
      <c r="R42" s="27">
        <v>11</v>
      </c>
      <c r="S42" s="28"/>
      <c r="T42" s="28"/>
      <c r="U42" s="106" t="s">
        <v>146</v>
      </c>
      <c r="V42" s="106" t="s">
        <v>146</v>
      </c>
      <c r="W42" s="106" t="s">
        <v>146</v>
      </c>
      <c r="X42" s="106" t="s">
        <v>146</v>
      </c>
      <c r="Y42" s="106" t="s">
        <v>146</v>
      </c>
      <c r="Z42" s="106" t="s">
        <v>146</v>
      </c>
      <c r="AA42" s="106" t="s">
        <v>146</v>
      </c>
      <c r="AB42" s="106" t="s">
        <v>146</v>
      </c>
      <c r="AC42" s="106" t="s">
        <v>146</v>
      </c>
      <c r="AD42" s="106" t="s">
        <v>146</v>
      </c>
      <c r="AE42" s="106" t="s">
        <v>146</v>
      </c>
      <c r="AF42" s="106" t="s">
        <v>146</v>
      </c>
      <c r="AG42" s="106" t="s">
        <v>146</v>
      </c>
      <c r="AH42" s="106" t="s">
        <v>146</v>
      </c>
      <c r="AI42" s="28"/>
      <c r="AJ42" s="60"/>
      <c r="AK42" s="83">
        <f t="shared" ref="AK42:AK50" si="11">SUM(F42:AJ42)</f>
        <v>77</v>
      </c>
      <c r="AL42" s="215">
        <f>AK42/11</f>
        <v>7</v>
      </c>
      <c r="AM42" s="243">
        <f>AL42*3773.33</f>
        <v>26413.309999999998</v>
      </c>
      <c r="AN42" s="15"/>
    </row>
    <row r="43" spans="1:40" ht="35.1" customHeight="1" x14ac:dyDescent="0.25">
      <c r="A43" s="69">
        <v>24</v>
      </c>
      <c r="B43" s="6" t="s">
        <v>46</v>
      </c>
      <c r="C43" s="44" t="s">
        <v>38</v>
      </c>
      <c r="D43" s="40" t="s">
        <v>47</v>
      </c>
      <c r="E43" s="73" t="s">
        <v>23</v>
      </c>
      <c r="F43" s="26">
        <v>11</v>
      </c>
      <c r="G43" s="28"/>
      <c r="H43" s="28"/>
      <c r="I43" s="27">
        <v>11</v>
      </c>
      <c r="J43" s="27">
        <v>11</v>
      </c>
      <c r="K43" s="64"/>
      <c r="L43" s="28"/>
      <c r="M43" s="27">
        <v>11</v>
      </c>
      <c r="N43" s="27">
        <v>11</v>
      </c>
      <c r="O43" s="28"/>
      <c r="P43" s="28"/>
      <c r="Q43" s="27">
        <v>11</v>
      </c>
      <c r="R43" s="27">
        <v>11</v>
      </c>
      <c r="S43" s="28"/>
      <c r="T43" s="28"/>
      <c r="U43" s="27">
        <v>11</v>
      </c>
      <c r="V43" s="27">
        <v>11</v>
      </c>
      <c r="W43" s="28"/>
      <c r="X43" s="64"/>
      <c r="Y43" s="27">
        <v>11</v>
      </c>
      <c r="Z43" s="27">
        <v>11</v>
      </c>
      <c r="AA43" s="28"/>
      <c r="AB43" s="28"/>
      <c r="AC43" s="27">
        <v>11</v>
      </c>
      <c r="AD43" s="27">
        <v>11</v>
      </c>
      <c r="AE43" s="64"/>
      <c r="AF43" s="64"/>
      <c r="AG43" s="27">
        <v>11</v>
      </c>
      <c r="AH43" s="27">
        <v>11</v>
      </c>
      <c r="AI43" s="28"/>
      <c r="AJ43" s="60"/>
      <c r="AK43" s="83">
        <f t="shared" si="11"/>
        <v>165</v>
      </c>
      <c r="AL43" s="215">
        <f t="shared" ref="AL43:AL50" si="12">AK43/11</f>
        <v>15</v>
      </c>
      <c r="AM43" s="243">
        <v>56600</v>
      </c>
      <c r="AN43" s="18"/>
    </row>
    <row r="44" spans="1:40" ht="35.1" customHeight="1" x14ac:dyDescent="0.25">
      <c r="A44" s="69">
        <v>25</v>
      </c>
      <c r="B44" s="6" t="s">
        <v>195</v>
      </c>
      <c r="C44" s="44" t="s">
        <v>38</v>
      </c>
      <c r="D44" s="40" t="s">
        <v>196</v>
      </c>
      <c r="E44" s="73" t="s">
        <v>23</v>
      </c>
      <c r="F44" s="30"/>
      <c r="G44" s="28"/>
      <c r="H44" s="28"/>
      <c r="I44" s="28"/>
      <c r="J44" s="64"/>
      <c r="K44" s="64"/>
      <c r="L44" s="28"/>
      <c r="M44" s="28"/>
      <c r="N44" s="28"/>
      <c r="O44" s="27">
        <v>11</v>
      </c>
      <c r="P44" s="27">
        <v>11</v>
      </c>
      <c r="Q44" s="64"/>
      <c r="R44" s="213">
        <v>11</v>
      </c>
      <c r="S44" s="27">
        <v>11</v>
      </c>
      <c r="T44" s="27">
        <v>11</v>
      </c>
      <c r="U44" s="28"/>
      <c r="V44" s="28"/>
      <c r="W44" s="27">
        <v>11</v>
      </c>
      <c r="X44" s="27">
        <v>11</v>
      </c>
      <c r="Y44" s="64"/>
      <c r="Z44" s="213">
        <v>11</v>
      </c>
      <c r="AA44" s="27">
        <v>11</v>
      </c>
      <c r="AB44" s="27">
        <v>11</v>
      </c>
      <c r="AC44" s="28"/>
      <c r="AD44" s="28"/>
      <c r="AE44" s="27">
        <v>11</v>
      </c>
      <c r="AF44" s="27">
        <v>11</v>
      </c>
      <c r="AG44" s="213">
        <v>11</v>
      </c>
      <c r="AH44" s="28"/>
      <c r="AI44" s="27">
        <v>11</v>
      </c>
      <c r="AJ44" s="292">
        <v>11</v>
      </c>
      <c r="AK44" s="83">
        <f t="shared" si="11"/>
        <v>165</v>
      </c>
      <c r="AL44" s="215">
        <f t="shared" si="12"/>
        <v>15</v>
      </c>
      <c r="AM44" s="243">
        <f>AL44*3537.5</f>
        <v>53062.5</v>
      </c>
      <c r="AN44" s="15" t="s">
        <v>124</v>
      </c>
    </row>
    <row r="45" spans="1:40" ht="35.1" customHeight="1" x14ac:dyDescent="0.25">
      <c r="A45" s="52"/>
      <c r="B45" s="6" t="s">
        <v>35</v>
      </c>
      <c r="C45" s="44" t="s">
        <v>38</v>
      </c>
      <c r="D45" s="40"/>
      <c r="E45" s="73" t="s">
        <v>23</v>
      </c>
      <c r="F45" s="30"/>
      <c r="G45" s="28"/>
      <c r="H45" s="28"/>
      <c r="I45" s="28"/>
      <c r="J45" s="64"/>
      <c r="K45" s="64"/>
      <c r="L45" s="28"/>
      <c r="M45" s="28"/>
      <c r="N45" s="28"/>
      <c r="O45" s="28"/>
      <c r="P45" s="28"/>
      <c r="Q45" s="64"/>
      <c r="R45" s="64"/>
      <c r="S45" s="28"/>
      <c r="T45" s="28"/>
      <c r="U45" s="28"/>
      <c r="V45" s="28"/>
      <c r="W45" s="28"/>
      <c r="X45" s="64"/>
      <c r="Y45" s="64"/>
      <c r="Z45" s="28"/>
      <c r="AA45" s="28"/>
      <c r="AB45" s="28"/>
      <c r="AC45" s="28"/>
      <c r="AD45" s="28"/>
      <c r="AE45" s="64"/>
      <c r="AF45" s="64"/>
      <c r="AG45" s="28"/>
      <c r="AH45" s="28"/>
      <c r="AI45" s="28"/>
      <c r="AJ45" s="60"/>
      <c r="AK45" s="83">
        <f>SUM(F45:AJ45)</f>
        <v>0</v>
      </c>
      <c r="AL45" s="215">
        <f t="shared" si="12"/>
        <v>0</v>
      </c>
      <c r="AM45" s="243"/>
      <c r="AN45" s="17" t="s">
        <v>205</v>
      </c>
    </row>
    <row r="46" spans="1:40" ht="35.1" customHeight="1" x14ac:dyDescent="0.25">
      <c r="A46" s="52"/>
      <c r="B46" s="6" t="s">
        <v>35</v>
      </c>
      <c r="C46" s="44" t="s">
        <v>38</v>
      </c>
      <c r="D46" s="40"/>
      <c r="E46" s="73" t="s">
        <v>23</v>
      </c>
      <c r="F46" s="30"/>
      <c r="G46" s="28"/>
      <c r="H46" s="28"/>
      <c r="I46" s="28"/>
      <c r="J46" s="64"/>
      <c r="K46" s="64"/>
      <c r="L46" s="28"/>
      <c r="M46" s="28"/>
      <c r="N46" s="28"/>
      <c r="O46" s="28"/>
      <c r="P46" s="28"/>
      <c r="Q46" s="64"/>
      <c r="R46" s="64"/>
      <c r="S46" s="28"/>
      <c r="T46" s="28"/>
      <c r="U46" s="28"/>
      <c r="V46" s="28"/>
      <c r="W46" s="28"/>
      <c r="X46" s="64"/>
      <c r="Y46" s="64"/>
      <c r="Z46" s="28"/>
      <c r="AA46" s="28"/>
      <c r="AB46" s="28"/>
      <c r="AC46" s="28"/>
      <c r="AD46" s="28"/>
      <c r="AE46" s="64"/>
      <c r="AF46" s="64"/>
      <c r="AG46" s="28"/>
      <c r="AH46" s="28"/>
      <c r="AI46" s="28"/>
      <c r="AJ46" s="60"/>
      <c r="AK46" s="83">
        <f t="shared" si="11"/>
        <v>0</v>
      </c>
      <c r="AL46" s="215">
        <f t="shared" si="12"/>
        <v>0</v>
      </c>
      <c r="AM46" s="243"/>
      <c r="AN46" s="16"/>
    </row>
    <row r="47" spans="1:40" ht="35.1" customHeight="1" x14ac:dyDescent="0.25">
      <c r="A47" s="52"/>
      <c r="B47" s="6" t="s">
        <v>35</v>
      </c>
      <c r="C47" s="44" t="s">
        <v>38</v>
      </c>
      <c r="D47" s="40"/>
      <c r="E47" s="73" t="s">
        <v>23</v>
      </c>
      <c r="F47" s="30"/>
      <c r="G47" s="28"/>
      <c r="H47" s="28"/>
      <c r="I47" s="28"/>
      <c r="J47" s="64"/>
      <c r="K47" s="64"/>
      <c r="L47" s="28"/>
      <c r="M47" s="28"/>
      <c r="N47" s="28"/>
      <c r="O47" s="28"/>
      <c r="P47" s="28"/>
      <c r="Q47" s="64"/>
      <c r="R47" s="64"/>
      <c r="S47" s="28"/>
      <c r="T47" s="28"/>
      <c r="U47" s="28"/>
      <c r="V47" s="28"/>
      <c r="W47" s="28"/>
      <c r="X47" s="64"/>
      <c r="Y47" s="64"/>
      <c r="Z47" s="28"/>
      <c r="AA47" s="28"/>
      <c r="AB47" s="28"/>
      <c r="AC47" s="28"/>
      <c r="AD47" s="28"/>
      <c r="AE47" s="64"/>
      <c r="AF47" s="64"/>
      <c r="AG47" s="28"/>
      <c r="AH47" s="28"/>
      <c r="AI47" s="28"/>
      <c r="AJ47" s="60"/>
      <c r="AK47" s="83">
        <f t="shared" si="11"/>
        <v>0</v>
      </c>
      <c r="AL47" s="215">
        <f t="shared" si="12"/>
        <v>0</v>
      </c>
      <c r="AM47" s="243"/>
      <c r="AN47" s="16"/>
    </row>
    <row r="48" spans="1:40" ht="35.1" customHeight="1" x14ac:dyDescent="0.25">
      <c r="A48" s="52"/>
      <c r="B48" s="6" t="s">
        <v>35</v>
      </c>
      <c r="C48" s="44" t="s">
        <v>38</v>
      </c>
      <c r="D48" s="40"/>
      <c r="E48" s="73" t="s">
        <v>23</v>
      </c>
      <c r="F48" s="30"/>
      <c r="G48" s="28"/>
      <c r="H48" s="28"/>
      <c r="I48" s="28"/>
      <c r="J48" s="64"/>
      <c r="K48" s="64"/>
      <c r="L48" s="28"/>
      <c r="M48" s="28"/>
      <c r="N48" s="28"/>
      <c r="O48" s="28"/>
      <c r="P48" s="28"/>
      <c r="Q48" s="64"/>
      <c r="R48" s="64"/>
      <c r="S48" s="28"/>
      <c r="T48" s="28"/>
      <c r="U48" s="28"/>
      <c r="V48" s="28"/>
      <c r="W48" s="28"/>
      <c r="X48" s="64"/>
      <c r="Y48" s="64"/>
      <c r="Z48" s="28"/>
      <c r="AA48" s="28"/>
      <c r="AB48" s="28"/>
      <c r="AC48" s="28"/>
      <c r="AD48" s="28"/>
      <c r="AE48" s="64"/>
      <c r="AF48" s="64"/>
      <c r="AG48" s="28"/>
      <c r="AH48" s="28"/>
      <c r="AI48" s="28"/>
      <c r="AJ48" s="60"/>
      <c r="AK48" s="83">
        <f t="shared" si="11"/>
        <v>0</v>
      </c>
      <c r="AL48" s="215">
        <f t="shared" si="12"/>
        <v>0</v>
      </c>
      <c r="AM48" s="243"/>
      <c r="AN48" s="16"/>
    </row>
    <row r="49" spans="1:41" ht="35.1" customHeight="1" x14ac:dyDescent="0.25">
      <c r="A49" s="52"/>
      <c r="B49" s="6" t="s">
        <v>35</v>
      </c>
      <c r="C49" s="44" t="s">
        <v>38</v>
      </c>
      <c r="D49" s="40"/>
      <c r="E49" s="73" t="s">
        <v>23</v>
      </c>
      <c r="F49" s="30"/>
      <c r="G49" s="28"/>
      <c r="H49" s="28"/>
      <c r="I49" s="28"/>
      <c r="J49" s="64"/>
      <c r="K49" s="64"/>
      <c r="L49" s="28"/>
      <c r="M49" s="28"/>
      <c r="N49" s="28"/>
      <c r="O49" s="28"/>
      <c r="P49" s="28"/>
      <c r="Q49" s="64"/>
      <c r="R49" s="64"/>
      <c r="S49" s="28"/>
      <c r="T49" s="28"/>
      <c r="U49" s="28"/>
      <c r="V49" s="28"/>
      <c r="W49" s="28"/>
      <c r="X49" s="64"/>
      <c r="Y49" s="64"/>
      <c r="Z49" s="28"/>
      <c r="AA49" s="28"/>
      <c r="AB49" s="28"/>
      <c r="AC49" s="28"/>
      <c r="AD49" s="28"/>
      <c r="AE49" s="64"/>
      <c r="AF49" s="64"/>
      <c r="AG49" s="28"/>
      <c r="AH49" s="28"/>
      <c r="AI49" s="28"/>
      <c r="AJ49" s="60"/>
      <c r="AK49" s="83">
        <f t="shared" si="11"/>
        <v>0</v>
      </c>
      <c r="AL49" s="215">
        <f t="shared" si="12"/>
        <v>0</v>
      </c>
      <c r="AM49" s="243"/>
      <c r="AN49" s="16"/>
    </row>
    <row r="50" spans="1:41" ht="35.1" customHeight="1" thickBot="1" x14ac:dyDescent="0.3">
      <c r="A50" s="94"/>
      <c r="B50" s="48" t="s">
        <v>35</v>
      </c>
      <c r="C50" s="45" t="s">
        <v>38</v>
      </c>
      <c r="D50" s="41"/>
      <c r="E50" s="74" t="s">
        <v>23</v>
      </c>
      <c r="F50" s="31"/>
      <c r="G50" s="32"/>
      <c r="H50" s="32"/>
      <c r="I50" s="32"/>
      <c r="J50" s="65"/>
      <c r="K50" s="65"/>
      <c r="L50" s="32"/>
      <c r="M50" s="32"/>
      <c r="N50" s="32"/>
      <c r="O50" s="32"/>
      <c r="P50" s="32"/>
      <c r="Q50" s="65"/>
      <c r="R50" s="65"/>
      <c r="S50" s="32"/>
      <c r="T50" s="32"/>
      <c r="U50" s="32"/>
      <c r="V50" s="32"/>
      <c r="W50" s="32"/>
      <c r="X50" s="65"/>
      <c r="Y50" s="65"/>
      <c r="Z50" s="32"/>
      <c r="AA50" s="32"/>
      <c r="AB50" s="32"/>
      <c r="AC50" s="32"/>
      <c r="AD50" s="32"/>
      <c r="AE50" s="65"/>
      <c r="AF50" s="65"/>
      <c r="AG50" s="32"/>
      <c r="AH50" s="32"/>
      <c r="AI50" s="32"/>
      <c r="AJ50" s="61"/>
      <c r="AK50" s="83">
        <f t="shared" si="11"/>
        <v>0</v>
      </c>
      <c r="AL50" s="215">
        <f t="shared" si="12"/>
        <v>0</v>
      </c>
      <c r="AM50" s="243"/>
      <c r="AN50" s="19">
        <v>656000</v>
      </c>
    </row>
    <row r="51" spans="1:41" ht="24.75" customHeight="1" thickBot="1" x14ac:dyDescent="0.3">
      <c r="A51" s="381" t="s">
        <v>24</v>
      </c>
      <c r="B51" s="382"/>
      <c r="C51" s="382"/>
      <c r="D51" s="382"/>
      <c r="E51" s="383"/>
      <c r="F51" s="95">
        <f>COUNT(F40:F50)</f>
        <v>4</v>
      </c>
      <c r="G51" s="96">
        <f t="shared" ref="G51:AJ51" si="13">COUNT(G40:G50)</f>
        <v>1</v>
      </c>
      <c r="H51" s="96">
        <f t="shared" si="13"/>
        <v>1</v>
      </c>
      <c r="I51" s="96">
        <f t="shared" si="13"/>
        <v>4</v>
      </c>
      <c r="J51" s="96">
        <f t="shared" si="13"/>
        <v>4</v>
      </c>
      <c r="K51" s="96">
        <f t="shared" si="13"/>
        <v>0</v>
      </c>
      <c r="L51" s="96">
        <f t="shared" si="13"/>
        <v>1</v>
      </c>
      <c r="M51" s="96">
        <f t="shared" si="13"/>
        <v>4</v>
      </c>
      <c r="N51" s="96">
        <f t="shared" si="13"/>
        <v>4</v>
      </c>
      <c r="O51" s="96">
        <f t="shared" si="13"/>
        <v>2</v>
      </c>
      <c r="P51" s="96">
        <f t="shared" si="13"/>
        <v>2</v>
      </c>
      <c r="Q51" s="96">
        <f t="shared" si="13"/>
        <v>4</v>
      </c>
      <c r="R51" s="96">
        <f t="shared" si="13"/>
        <v>5</v>
      </c>
      <c r="S51" s="96">
        <f t="shared" si="13"/>
        <v>2</v>
      </c>
      <c r="T51" s="96">
        <f t="shared" si="13"/>
        <v>2</v>
      </c>
      <c r="U51" s="96">
        <f t="shared" si="13"/>
        <v>3</v>
      </c>
      <c r="V51" s="96">
        <f t="shared" si="13"/>
        <v>3</v>
      </c>
      <c r="W51" s="96">
        <f t="shared" si="13"/>
        <v>2</v>
      </c>
      <c r="X51" s="96">
        <f t="shared" si="13"/>
        <v>2</v>
      </c>
      <c r="Y51" s="96">
        <f t="shared" si="13"/>
        <v>3</v>
      </c>
      <c r="Z51" s="96">
        <f t="shared" si="13"/>
        <v>4</v>
      </c>
      <c r="AA51" s="96">
        <f t="shared" si="13"/>
        <v>2</v>
      </c>
      <c r="AB51" s="96">
        <f t="shared" si="13"/>
        <v>2</v>
      </c>
      <c r="AC51" s="96">
        <f t="shared" si="13"/>
        <v>3</v>
      </c>
      <c r="AD51" s="96">
        <f t="shared" si="13"/>
        <v>3</v>
      </c>
      <c r="AE51" s="96">
        <f t="shared" si="13"/>
        <v>2</v>
      </c>
      <c r="AF51" s="96">
        <f t="shared" si="13"/>
        <v>1</v>
      </c>
      <c r="AG51" s="96">
        <f t="shared" si="13"/>
        <v>4</v>
      </c>
      <c r="AH51" s="96">
        <f t="shared" si="13"/>
        <v>3</v>
      </c>
      <c r="AI51" s="96">
        <f t="shared" si="13"/>
        <v>2</v>
      </c>
      <c r="AJ51" s="97">
        <f t="shared" si="13"/>
        <v>2</v>
      </c>
      <c r="AK51" s="221">
        <f>SUM(AK40:AK50)</f>
        <v>799</v>
      </c>
      <c r="AL51" s="217">
        <f>SUM(AL40:AL50)</f>
        <v>80.375</v>
      </c>
      <c r="AM51" s="244">
        <f>AN50-AM40-AM41-AM42-AM43-AM44</f>
        <v>352292.815</v>
      </c>
      <c r="AN51" s="16"/>
    </row>
    <row r="52" spans="1:41" ht="39.75" customHeight="1" thickBot="1" x14ac:dyDescent="0.3">
      <c r="A52" s="384" t="s">
        <v>192</v>
      </c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6"/>
      <c r="AN52" s="16"/>
    </row>
    <row r="53" spans="1:41" ht="35.1" customHeight="1" x14ac:dyDescent="0.25">
      <c r="A53" s="69">
        <v>26</v>
      </c>
      <c r="B53" s="103" t="s">
        <v>50</v>
      </c>
      <c r="C53" s="104" t="s">
        <v>51</v>
      </c>
      <c r="D53" s="112" t="s">
        <v>52</v>
      </c>
      <c r="E53" s="91" t="s">
        <v>2</v>
      </c>
      <c r="F53" s="88">
        <v>8</v>
      </c>
      <c r="G53" s="35">
        <v>8</v>
      </c>
      <c r="H53" s="35">
        <v>8</v>
      </c>
      <c r="I53" s="35">
        <v>8</v>
      </c>
      <c r="J53" s="89"/>
      <c r="K53" s="89"/>
      <c r="L53" s="35">
        <v>8</v>
      </c>
      <c r="M53" s="35">
        <v>8</v>
      </c>
      <c r="N53" s="35">
        <v>8</v>
      </c>
      <c r="O53" s="35">
        <v>8</v>
      </c>
      <c r="P53" s="35">
        <v>8</v>
      </c>
      <c r="Q53" s="89"/>
      <c r="R53" s="89"/>
      <c r="S53" s="35">
        <v>8</v>
      </c>
      <c r="T53" s="35">
        <v>8</v>
      </c>
      <c r="U53" s="35">
        <v>8</v>
      </c>
      <c r="V53" s="35">
        <v>8</v>
      </c>
      <c r="W53" s="35">
        <v>8</v>
      </c>
      <c r="X53" s="89"/>
      <c r="Y53" s="89"/>
      <c r="Z53" s="35">
        <v>8</v>
      </c>
      <c r="AA53" s="35">
        <v>8</v>
      </c>
      <c r="AB53" s="35">
        <v>8</v>
      </c>
      <c r="AC53" s="35">
        <v>8</v>
      </c>
      <c r="AD53" s="35">
        <v>8</v>
      </c>
      <c r="AE53" s="89"/>
      <c r="AF53" s="89"/>
      <c r="AG53" s="35">
        <v>8</v>
      </c>
      <c r="AH53" s="35">
        <v>8</v>
      </c>
      <c r="AI53" s="35">
        <v>8</v>
      </c>
      <c r="AJ53" s="35">
        <v>8</v>
      </c>
      <c r="AK53" s="83">
        <f t="shared" ref="AK53" si="14">SUM(F53:AJ53)</f>
        <v>184</v>
      </c>
      <c r="AL53" s="215">
        <f t="shared" ref="AL53" si="15">AK53/8</f>
        <v>23</v>
      </c>
      <c r="AM53" s="245">
        <v>90000</v>
      </c>
      <c r="AN53" s="15" t="s">
        <v>124</v>
      </c>
    </row>
    <row r="54" spans="1:41" ht="35.1" customHeight="1" x14ac:dyDescent="0.25">
      <c r="A54" s="69">
        <v>27</v>
      </c>
      <c r="B54" s="49" t="s">
        <v>113</v>
      </c>
      <c r="C54" s="33" t="s">
        <v>54</v>
      </c>
      <c r="D54" s="113" t="s">
        <v>114</v>
      </c>
      <c r="E54" s="73" t="s">
        <v>23</v>
      </c>
      <c r="F54" s="26">
        <v>11</v>
      </c>
      <c r="G54" s="28"/>
      <c r="H54" s="28"/>
      <c r="I54" s="27">
        <v>11</v>
      </c>
      <c r="J54" s="27">
        <v>11</v>
      </c>
      <c r="K54" s="64"/>
      <c r="L54" s="28"/>
      <c r="M54" s="27">
        <v>11</v>
      </c>
      <c r="N54" s="27">
        <v>11</v>
      </c>
      <c r="O54" s="28"/>
      <c r="P54" s="28"/>
      <c r="Q54" s="27">
        <v>11</v>
      </c>
      <c r="R54" s="27">
        <v>11</v>
      </c>
      <c r="S54" s="28"/>
      <c r="T54" s="28"/>
      <c r="U54" s="27">
        <v>11</v>
      </c>
      <c r="V54" s="27">
        <v>11</v>
      </c>
      <c r="W54" s="28"/>
      <c r="X54" s="64"/>
      <c r="Y54" s="27">
        <v>11</v>
      </c>
      <c r="Z54" s="27">
        <v>11</v>
      </c>
      <c r="AA54" s="28"/>
      <c r="AB54" s="28"/>
      <c r="AC54" s="27">
        <v>11</v>
      </c>
      <c r="AD54" s="27">
        <v>11</v>
      </c>
      <c r="AE54" s="64"/>
      <c r="AF54" s="64"/>
      <c r="AG54" s="27">
        <v>11</v>
      </c>
      <c r="AH54" s="27">
        <v>11</v>
      </c>
      <c r="AI54" s="28"/>
      <c r="AJ54" s="60"/>
      <c r="AK54" s="83">
        <f>SUM(F54:AJ54)</f>
        <v>165</v>
      </c>
      <c r="AL54" s="215">
        <f t="shared" ref="AL54:AL60" si="16">AK54/11</f>
        <v>15</v>
      </c>
      <c r="AM54" s="243">
        <f>AL54*3773.33333333</f>
        <v>56599.99999995</v>
      </c>
      <c r="AN54" s="15" t="s">
        <v>124</v>
      </c>
      <c r="AO54" s="279"/>
    </row>
    <row r="55" spans="1:41" ht="35.1" customHeight="1" x14ac:dyDescent="0.25">
      <c r="A55" s="69">
        <v>28</v>
      </c>
      <c r="B55" s="49" t="s">
        <v>120</v>
      </c>
      <c r="C55" s="33" t="s">
        <v>54</v>
      </c>
      <c r="D55" s="113" t="s">
        <v>121</v>
      </c>
      <c r="E55" s="73" t="s">
        <v>23</v>
      </c>
      <c r="F55" s="30"/>
      <c r="G55" s="27">
        <v>11</v>
      </c>
      <c r="H55" s="27">
        <v>11</v>
      </c>
      <c r="I55" s="28"/>
      <c r="J55" s="64"/>
      <c r="K55" s="27">
        <v>11</v>
      </c>
      <c r="L55" s="27">
        <v>11</v>
      </c>
      <c r="M55" s="28"/>
      <c r="N55" s="28"/>
      <c r="O55" s="27">
        <v>11</v>
      </c>
      <c r="P55" s="27">
        <v>11</v>
      </c>
      <c r="Q55" s="64"/>
      <c r="R55" s="64"/>
      <c r="S55" s="27">
        <v>11</v>
      </c>
      <c r="T55" s="27">
        <v>11</v>
      </c>
      <c r="U55" s="28"/>
      <c r="V55" s="28"/>
      <c r="W55" s="27">
        <v>11</v>
      </c>
      <c r="X55" s="27">
        <v>11</v>
      </c>
      <c r="Y55" s="64"/>
      <c r="Z55" s="28"/>
      <c r="AA55" s="27">
        <v>11</v>
      </c>
      <c r="AB55" s="27">
        <v>11</v>
      </c>
      <c r="AC55" s="28"/>
      <c r="AD55" s="28"/>
      <c r="AE55" s="27">
        <v>11</v>
      </c>
      <c r="AF55" s="27">
        <v>11</v>
      </c>
      <c r="AG55" s="28"/>
      <c r="AH55" s="28"/>
      <c r="AI55" s="27">
        <v>11</v>
      </c>
      <c r="AJ55" s="292">
        <v>11</v>
      </c>
      <c r="AK55" s="83">
        <f t="shared" ref="AK55:AK60" si="17">SUM(F55:AJ55)</f>
        <v>176</v>
      </c>
      <c r="AL55" s="215">
        <f t="shared" si="16"/>
        <v>16</v>
      </c>
      <c r="AM55" s="243">
        <f>AL55*3537.5</f>
        <v>56600</v>
      </c>
      <c r="AN55" s="15" t="s">
        <v>124</v>
      </c>
      <c r="AO55" s="5"/>
    </row>
    <row r="56" spans="1:41" ht="35.1" customHeight="1" x14ac:dyDescent="0.25">
      <c r="A56" s="69">
        <v>29</v>
      </c>
      <c r="B56" s="49" t="s">
        <v>133</v>
      </c>
      <c r="C56" s="33" t="s">
        <v>54</v>
      </c>
      <c r="D56" s="113" t="s">
        <v>134</v>
      </c>
      <c r="E56" s="73" t="s">
        <v>23</v>
      </c>
      <c r="F56" s="30"/>
      <c r="G56" s="28"/>
      <c r="H56" s="27">
        <v>11</v>
      </c>
      <c r="I56" s="27">
        <v>11</v>
      </c>
      <c r="J56" s="64"/>
      <c r="K56" s="64"/>
      <c r="L56" s="27">
        <v>11</v>
      </c>
      <c r="M56" s="27">
        <v>11</v>
      </c>
      <c r="N56" s="28"/>
      <c r="O56" s="28"/>
      <c r="P56" s="27">
        <v>11</v>
      </c>
      <c r="Q56" s="27">
        <v>11</v>
      </c>
      <c r="R56" s="64"/>
      <c r="S56" s="28"/>
      <c r="T56" s="27">
        <v>11</v>
      </c>
      <c r="U56" s="27">
        <v>11</v>
      </c>
      <c r="V56" s="28"/>
      <c r="W56" s="28"/>
      <c r="X56" s="27">
        <v>11</v>
      </c>
      <c r="Y56" s="27">
        <v>11</v>
      </c>
      <c r="Z56" s="28"/>
      <c r="AA56" s="28"/>
      <c r="AB56" s="27">
        <v>11</v>
      </c>
      <c r="AC56" s="27">
        <v>11</v>
      </c>
      <c r="AD56" s="28"/>
      <c r="AE56" s="64"/>
      <c r="AF56" s="27">
        <v>11</v>
      </c>
      <c r="AG56" s="27">
        <v>11</v>
      </c>
      <c r="AH56" s="28"/>
      <c r="AI56" s="28"/>
      <c r="AJ56" s="304" t="s">
        <v>172</v>
      </c>
      <c r="AK56" s="83">
        <f t="shared" si="17"/>
        <v>154</v>
      </c>
      <c r="AL56" s="215">
        <f t="shared" si="16"/>
        <v>14</v>
      </c>
      <c r="AM56" s="243">
        <f>AL56*3773.33333333</f>
        <v>52826.666666620004</v>
      </c>
      <c r="AN56" s="15"/>
    </row>
    <row r="57" spans="1:41" ht="35.1" customHeight="1" x14ac:dyDescent="0.25">
      <c r="A57" s="69">
        <v>30</v>
      </c>
      <c r="B57" s="49" t="s">
        <v>149</v>
      </c>
      <c r="C57" s="33" t="s">
        <v>54</v>
      </c>
      <c r="D57" s="113" t="s">
        <v>148</v>
      </c>
      <c r="E57" s="73" t="s">
        <v>23</v>
      </c>
      <c r="F57" s="26">
        <v>11</v>
      </c>
      <c r="G57" s="28"/>
      <c r="H57" s="28"/>
      <c r="I57" s="27">
        <v>11</v>
      </c>
      <c r="J57" s="27">
        <v>11</v>
      </c>
      <c r="K57" s="64"/>
      <c r="L57" s="28"/>
      <c r="M57" s="27">
        <v>11</v>
      </c>
      <c r="N57" s="27">
        <v>11</v>
      </c>
      <c r="O57" s="28"/>
      <c r="P57" s="28"/>
      <c r="Q57" s="27">
        <v>11</v>
      </c>
      <c r="R57" s="27">
        <v>11</v>
      </c>
      <c r="S57" s="28"/>
      <c r="T57" s="28"/>
      <c r="U57" s="27">
        <v>11</v>
      </c>
      <c r="V57" s="27">
        <v>11</v>
      </c>
      <c r="W57" s="28"/>
      <c r="X57" s="64"/>
      <c r="Y57" s="27">
        <v>11</v>
      </c>
      <c r="Z57" s="27">
        <v>11</v>
      </c>
      <c r="AA57" s="28"/>
      <c r="AB57" s="28"/>
      <c r="AC57" s="27">
        <v>11</v>
      </c>
      <c r="AD57" s="27">
        <v>11</v>
      </c>
      <c r="AE57" s="64"/>
      <c r="AF57" s="64"/>
      <c r="AG57" s="27">
        <v>11</v>
      </c>
      <c r="AH57" s="27">
        <v>11</v>
      </c>
      <c r="AI57" s="28"/>
      <c r="AJ57" s="60"/>
      <c r="AK57" s="83">
        <f t="shared" si="17"/>
        <v>165</v>
      </c>
      <c r="AL57" s="215">
        <f t="shared" si="16"/>
        <v>15</v>
      </c>
      <c r="AM57" s="243">
        <f>AL57*3773.33333333</f>
        <v>56599.99999995</v>
      </c>
      <c r="AN57" s="15" t="s">
        <v>124</v>
      </c>
    </row>
    <row r="58" spans="1:41" ht="35.1" customHeight="1" x14ac:dyDescent="0.25">
      <c r="A58" s="69">
        <v>31</v>
      </c>
      <c r="B58" s="49" t="s">
        <v>210</v>
      </c>
      <c r="C58" s="33" t="s">
        <v>54</v>
      </c>
      <c r="D58" s="113" t="s">
        <v>212</v>
      </c>
      <c r="E58" s="73" t="s">
        <v>23</v>
      </c>
      <c r="F58" s="30"/>
      <c r="G58" s="28"/>
      <c r="H58" s="28"/>
      <c r="I58" s="28"/>
      <c r="J58" s="64"/>
      <c r="K58" s="64"/>
      <c r="L58" s="28"/>
      <c r="M58" s="28"/>
      <c r="N58" s="28"/>
      <c r="O58" s="28"/>
      <c r="P58" s="28"/>
      <c r="Q58" s="64"/>
      <c r="R58" s="64"/>
      <c r="S58" s="28"/>
      <c r="T58" s="28"/>
      <c r="U58" s="28"/>
      <c r="V58" s="28"/>
      <c r="W58" s="28"/>
      <c r="X58" s="64"/>
      <c r="Y58" s="64"/>
      <c r="Z58" s="28"/>
      <c r="AA58" s="27">
        <v>11</v>
      </c>
      <c r="AB58" s="27">
        <v>11</v>
      </c>
      <c r="AC58" s="28"/>
      <c r="AD58" s="28"/>
      <c r="AE58" s="27">
        <v>11</v>
      </c>
      <c r="AF58" s="27">
        <v>11</v>
      </c>
      <c r="AG58" s="28"/>
      <c r="AH58" s="28"/>
      <c r="AI58" s="27">
        <v>11</v>
      </c>
      <c r="AJ58" s="292">
        <v>11</v>
      </c>
      <c r="AK58" s="83">
        <f t="shared" si="17"/>
        <v>66</v>
      </c>
      <c r="AL58" s="215">
        <f t="shared" si="16"/>
        <v>6</v>
      </c>
      <c r="AM58" s="243">
        <f>AL58*3773.33333333</f>
        <v>22639.999999980002</v>
      </c>
      <c r="AN58" s="17" t="s">
        <v>211</v>
      </c>
    </row>
    <row r="59" spans="1:41" ht="35.1" customHeight="1" x14ac:dyDescent="0.25">
      <c r="A59" s="52"/>
      <c r="B59" s="49" t="s">
        <v>35</v>
      </c>
      <c r="C59" s="33" t="s">
        <v>54</v>
      </c>
      <c r="D59" s="113"/>
      <c r="E59" s="73" t="s">
        <v>23</v>
      </c>
      <c r="F59" s="30"/>
      <c r="G59" s="28"/>
      <c r="H59" s="28"/>
      <c r="I59" s="28"/>
      <c r="J59" s="64"/>
      <c r="K59" s="64"/>
      <c r="L59" s="28"/>
      <c r="M59" s="28"/>
      <c r="N59" s="28"/>
      <c r="O59" s="28"/>
      <c r="P59" s="28"/>
      <c r="Q59" s="64"/>
      <c r="R59" s="64"/>
      <c r="S59" s="28"/>
      <c r="T59" s="28"/>
      <c r="U59" s="28"/>
      <c r="V59" s="28"/>
      <c r="W59" s="28"/>
      <c r="X59" s="64"/>
      <c r="Y59" s="64"/>
      <c r="Z59" s="28"/>
      <c r="AA59" s="28"/>
      <c r="AB59" s="28"/>
      <c r="AC59" s="28"/>
      <c r="AD59" s="28"/>
      <c r="AE59" s="64"/>
      <c r="AF59" s="64"/>
      <c r="AG59" s="28"/>
      <c r="AH59" s="28"/>
      <c r="AI59" s="28"/>
      <c r="AJ59" s="60"/>
      <c r="AK59" s="83">
        <f t="shared" si="17"/>
        <v>0</v>
      </c>
      <c r="AL59" s="215">
        <f t="shared" si="16"/>
        <v>0</v>
      </c>
      <c r="AM59" s="243"/>
      <c r="AN59" s="15"/>
    </row>
    <row r="60" spans="1:41" ht="35.1" customHeight="1" thickBot="1" x14ac:dyDescent="0.3">
      <c r="A60" s="94"/>
      <c r="B60" s="108" t="s">
        <v>35</v>
      </c>
      <c r="C60" s="109" t="s">
        <v>54</v>
      </c>
      <c r="D60" s="114"/>
      <c r="E60" s="74" t="s">
        <v>23</v>
      </c>
      <c r="F60" s="31"/>
      <c r="G60" s="32"/>
      <c r="H60" s="32"/>
      <c r="I60" s="32"/>
      <c r="J60" s="65"/>
      <c r="K60" s="65"/>
      <c r="L60" s="32"/>
      <c r="M60" s="32"/>
      <c r="N60" s="32"/>
      <c r="O60" s="32"/>
      <c r="P60" s="32"/>
      <c r="Q60" s="65"/>
      <c r="R60" s="65"/>
      <c r="S60" s="32"/>
      <c r="T60" s="32"/>
      <c r="U60" s="32"/>
      <c r="V60" s="32"/>
      <c r="W60" s="32"/>
      <c r="X60" s="65"/>
      <c r="Y60" s="65"/>
      <c r="Z60" s="32"/>
      <c r="AA60" s="32"/>
      <c r="AB60" s="32"/>
      <c r="AC60" s="32"/>
      <c r="AD60" s="32"/>
      <c r="AE60" s="65"/>
      <c r="AF60" s="65"/>
      <c r="AG60" s="32"/>
      <c r="AH60" s="32"/>
      <c r="AI60" s="32"/>
      <c r="AJ60" s="61"/>
      <c r="AK60" s="105">
        <f t="shared" si="17"/>
        <v>0</v>
      </c>
      <c r="AL60" s="216">
        <f t="shared" si="16"/>
        <v>0</v>
      </c>
      <c r="AM60" s="243"/>
      <c r="AN60" s="20"/>
    </row>
    <row r="61" spans="1:41" ht="21.75" customHeight="1" thickBot="1" x14ac:dyDescent="0.3">
      <c r="A61" s="365" t="s">
        <v>24</v>
      </c>
      <c r="B61" s="366"/>
      <c r="C61" s="366"/>
      <c r="D61" s="366"/>
      <c r="E61" s="366"/>
      <c r="F61" s="95">
        <f>COUNT(F53:F60)</f>
        <v>3</v>
      </c>
      <c r="G61" s="96">
        <f t="shared" ref="G61:AJ61" si="18">COUNT(G53:G60)</f>
        <v>2</v>
      </c>
      <c r="H61" s="96">
        <f t="shared" si="18"/>
        <v>3</v>
      </c>
      <c r="I61" s="96">
        <f t="shared" si="18"/>
        <v>4</v>
      </c>
      <c r="J61" s="96">
        <f t="shared" si="18"/>
        <v>2</v>
      </c>
      <c r="K61" s="96">
        <f t="shared" si="18"/>
        <v>1</v>
      </c>
      <c r="L61" s="96">
        <f t="shared" si="18"/>
        <v>3</v>
      </c>
      <c r="M61" s="96">
        <f t="shared" si="18"/>
        <v>4</v>
      </c>
      <c r="N61" s="96">
        <f t="shared" si="18"/>
        <v>3</v>
      </c>
      <c r="O61" s="96">
        <f t="shared" si="18"/>
        <v>2</v>
      </c>
      <c r="P61" s="96">
        <f t="shared" si="18"/>
        <v>3</v>
      </c>
      <c r="Q61" s="96">
        <f t="shared" si="18"/>
        <v>3</v>
      </c>
      <c r="R61" s="96">
        <f t="shared" si="18"/>
        <v>2</v>
      </c>
      <c r="S61" s="96">
        <f t="shared" si="18"/>
        <v>2</v>
      </c>
      <c r="T61" s="96">
        <f t="shared" si="18"/>
        <v>3</v>
      </c>
      <c r="U61" s="96">
        <f t="shared" si="18"/>
        <v>4</v>
      </c>
      <c r="V61" s="96">
        <f t="shared" si="18"/>
        <v>3</v>
      </c>
      <c r="W61" s="96">
        <f t="shared" si="18"/>
        <v>2</v>
      </c>
      <c r="X61" s="96">
        <f t="shared" si="18"/>
        <v>2</v>
      </c>
      <c r="Y61" s="96">
        <f t="shared" si="18"/>
        <v>3</v>
      </c>
      <c r="Z61" s="96">
        <f t="shared" si="18"/>
        <v>3</v>
      </c>
      <c r="AA61" s="96">
        <f t="shared" si="18"/>
        <v>3</v>
      </c>
      <c r="AB61" s="96">
        <f t="shared" si="18"/>
        <v>4</v>
      </c>
      <c r="AC61" s="96">
        <f t="shared" si="18"/>
        <v>4</v>
      </c>
      <c r="AD61" s="96">
        <f t="shared" si="18"/>
        <v>3</v>
      </c>
      <c r="AE61" s="96">
        <f t="shared" si="18"/>
        <v>2</v>
      </c>
      <c r="AF61" s="96">
        <f t="shared" si="18"/>
        <v>3</v>
      </c>
      <c r="AG61" s="96">
        <f t="shared" si="18"/>
        <v>4</v>
      </c>
      <c r="AH61" s="96">
        <f t="shared" si="18"/>
        <v>3</v>
      </c>
      <c r="AI61" s="96">
        <f t="shared" si="18"/>
        <v>3</v>
      </c>
      <c r="AJ61" s="97">
        <f t="shared" si="18"/>
        <v>3</v>
      </c>
      <c r="AK61" s="221">
        <f>SUM(AK53:AK60)</f>
        <v>910</v>
      </c>
      <c r="AL61" s="217">
        <f>SUM(AL53:AL60)</f>
        <v>89</v>
      </c>
      <c r="AM61" s="244">
        <f>AN61-AM53-AM54-AM55-AM56-AM57</f>
        <v>173573.33333348</v>
      </c>
      <c r="AN61" s="16">
        <v>486200</v>
      </c>
    </row>
    <row r="62" spans="1:41" ht="41.25" customHeight="1" thickBot="1" x14ac:dyDescent="0.3">
      <c r="A62" s="378" t="s">
        <v>193</v>
      </c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79"/>
      <c r="AI62" s="379"/>
      <c r="AJ62" s="379"/>
      <c r="AK62" s="379"/>
      <c r="AL62" s="379"/>
      <c r="AM62" s="392"/>
      <c r="AN62" s="16"/>
    </row>
    <row r="63" spans="1:41" ht="35.1" customHeight="1" thickBot="1" x14ac:dyDescent="0.3">
      <c r="A63" s="69">
        <v>32</v>
      </c>
      <c r="B63" s="70" t="s">
        <v>57</v>
      </c>
      <c r="C63" s="104" t="s">
        <v>58</v>
      </c>
      <c r="D63" s="224" t="s">
        <v>59</v>
      </c>
      <c r="E63" s="225" t="s">
        <v>2</v>
      </c>
      <c r="F63" s="226">
        <v>8</v>
      </c>
      <c r="G63" s="227">
        <v>8</v>
      </c>
      <c r="H63" s="227">
        <v>8</v>
      </c>
      <c r="I63" s="227">
        <v>8</v>
      </c>
      <c r="J63" s="228"/>
      <c r="K63" s="228"/>
      <c r="L63" s="227">
        <v>8</v>
      </c>
      <c r="M63" s="227">
        <v>8</v>
      </c>
      <c r="N63" s="227">
        <v>8</v>
      </c>
      <c r="O63" s="227">
        <v>8</v>
      </c>
      <c r="P63" s="227">
        <v>8</v>
      </c>
      <c r="Q63" s="228"/>
      <c r="R63" s="228"/>
      <c r="S63" s="227">
        <v>8</v>
      </c>
      <c r="T63" s="227">
        <v>8</v>
      </c>
      <c r="U63" s="227">
        <v>8</v>
      </c>
      <c r="V63" s="227">
        <v>8</v>
      </c>
      <c r="W63" s="227">
        <v>8</v>
      </c>
      <c r="X63" s="228"/>
      <c r="Y63" s="228"/>
      <c r="Z63" s="227">
        <v>8</v>
      </c>
      <c r="AA63" s="227">
        <v>8</v>
      </c>
      <c r="AB63" s="227">
        <v>8</v>
      </c>
      <c r="AC63" s="227">
        <v>8</v>
      </c>
      <c r="AD63" s="227">
        <v>8</v>
      </c>
      <c r="AE63" s="228"/>
      <c r="AF63" s="228"/>
      <c r="AG63" s="227">
        <v>8</v>
      </c>
      <c r="AH63" s="227">
        <v>8</v>
      </c>
      <c r="AI63" s="227">
        <v>8</v>
      </c>
      <c r="AJ63" s="227">
        <v>8</v>
      </c>
      <c r="AK63" s="83">
        <f t="shared" ref="AK63" si="19">SUM(F63:AJ63)</f>
        <v>184</v>
      </c>
      <c r="AL63" s="215">
        <f t="shared" ref="AL63" si="20">AK63/8</f>
        <v>23</v>
      </c>
      <c r="AM63" s="243">
        <v>65000</v>
      </c>
      <c r="AN63" s="21"/>
    </row>
    <row r="64" spans="1:41" ht="22.5" customHeight="1" thickBot="1" x14ac:dyDescent="0.3">
      <c r="A64" s="365" t="s">
        <v>24</v>
      </c>
      <c r="B64" s="366"/>
      <c r="C64" s="366"/>
      <c r="D64" s="366"/>
      <c r="E64" s="367"/>
      <c r="F64" s="223">
        <f t="shared" ref="F64:AF64" si="21">F63</f>
        <v>8</v>
      </c>
      <c r="G64" s="223">
        <f t="shared" si="21"/>
        <v>8</v>
      </c>
      <c r="H64" s="223">
        <f t="shared" si="21"/>
        <v>8</v>
      </c>
      <c r="I64" s="223">
        <f t="shared" si="21"/>
        <v>8</v>
      </c>
      <c r="J64" s="223">
        <f t="shared" si="21"/>
        <v>0</v>
      </c>
      <c r="K64" s="223">
        <f t="shared" si="21"/>
        <v>0</v>
      </c>
      <c r="L64" s="223">
        <f t="shared" si="21"/>
        <v>8</v>
      </c>
      <c r="M64" s="223">
        <f t="shared" si="21"/>
        <v>8</v>
      </c>
      <c r="N64" s="223">
        <f t="shared" si="21"/>
        <v>8</v>
      </c>
      <c r="O64" s="223">
        <f t="shared" si="21"/>
        <v>8</v>
      </c>
      <c r="P64" s="223">
        <f t="shared" si="21"/>
        <v>8</v>
      </c>
      <c r="Q64" s="223">
        <f t="shared" si="21"/>
        <v>0</v>
      </c>
      <c r="R64" s="223">
        <f t="shared" si="21"/>
        <v>0</v>
      </c>
      <c r="S64" s="223">
        <f t="shared" si="21"/>
        <v>8</v>
      </c>
      <c r="T64" s="223">
        <f t="shared" si="21"/>
        <v>8</v>
      </c>
      <c r="U64" s="223">
        <f t="shared" si="21"/>
        <v>8</v>
      </c>
      <c r="V64" s="223">
        <f t="shared" si="21"/>
        <v>8</v>
      </c>
      <c r="W64" s="223">
        <f t="shared" si="21"/>
        <v>8</v>
      </c>
      <c r="X64" s="223">
        <f t="shared" si="21"/>
        <v>0</v>
      </c>
      <c r="Y64" s="223">
        <f t="shared" si="21"/>
        <v>0</v>
      </c>
      <c r="Z64" s="223">
        <f t="shared" si="21"/>
        <v>8</v>
      </c>
      <c r="AA64" s="223">
        <f t="shared" si="21"/>
        <v>8</v>
      </c>
      <c r="AB64" s="223">
        <f t="shared" si="21"/>
        <v>8</v>
      </c>
      <c r="AC64" s="223">
        <f t="shared" si="21"/>
        <v>8</v>
      </c>
      <c r="AD64" s="223">
        <f t="shared" si="21"/>
        <v>8</v>
      </c>
      <c r="AE64" s="223">
        <f t="shared" si="21"/>
        <v>0</v>
      </c>
      <c r="AF64" s="223">
        <f t="shared" si="21"/>
        <v>0</v>
      </c>
      <c r="AG64" s="96">
        <v>0</v>
      </c>
      <c r="AH64" s="96">
        <v>0</v>
      </c>
      <c r="AI64" s="96">
        <v>0</v>
      </c>
      <c r="AJ64" s="217">
        <v>0</v>
      </c>
      <c r="AK64" s="95">
        <f>SUM(AK63)</f>
        <v>184</v>
      </c>
      <c r="AL64" s="230">
        <f>SUM(AL63)</f>
        <v>23</v>
      </c>
      <c r="AM64" s="246">
        <f>AN64-AM63</f>
        <v>0</v>
      </c>
      <c r="AN64" s="16">
        <v>65000</v>
      </c>
    </row>
    <row r="65" spans="1:41" ht="40.5" customHeight="1" thickBot="1" x14ac:dyDescent="0.3">
      <c r="A65" s="378" t="s">
        <v>194</v>
      </c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79"/>
      <c r="AI65" s="379"/>
      <c r="AJ65" s="379"/>
      <c r="AK65" s="379"/>
      <c r="AL65" s="379"/>
      <c r="AM65" s="391"/>
      <c r="AN65" s="16"/>
    </row>
    <row r="66" spans="1:41" ht="35.1" customHeight="1" x14ac:dyDescent="0.25">
      <c r="A66" s="69">
        <v>33</v>
      </c>
      <c r="B66" s="120" t="s">
        <v>105</v>
      </c>
      <c r="C66" s="121" t="s">
        <v>60</v>
      </c>
      <c r="D66" s="122" t="s">
        <v>61</v>
      </c>
      <c r="E66" s="123" t="s">
        <v>62</v>
      </c>
      <c r="F66" s="110">
        <v>24</v>
      </c>
      <c r="G66" s="132"/>
      <c r="H66" s="132"/>
      <c r="I66" s="132"/>
      <c r="J66" s="35">
        <v>24</v>
      </c>
      <c r="K66" s="89"/>
      <c r="L66" s="132"/>
      <c r="M66" s="132"/>
      <c r="N66" s="231">
        <v>24</v>
      </c>
      <c r="O66" s="132"/>
      <c r="P66" s="132"/>
      <c r="Q66" s="89"/>
      <c r="R66" s="35">
        <v>24</v>
      </c>
      <c r="S66" s="132"/>
      <c r="T66" s="132"/>
      <c r="U66" s="132"/>
      <c r="V66" s="231">
        <v>24</v>
      </c>
      <c r="W66" s="284">
        <v>12</v>
      </c>
      <c r="X66" s="89"/>
      <c r="Y66" s="89"/>
      <c r="Z66" s="35">
        <v>24</v>
      </c>
      <c r="AA66" s="132"/>
      <c r="AB66" s="132"/>
      <c r="AC66" s="132"/>
      <c r="AD66" s="231">
        <v>24</v>
      </c>
      <c r="AE66" s="89"/>
      <c r="AF66" s="89"/>
      <c r="AG66" s="132"/>
      <c r="AH66" s="231">
        <v>24</v>
      </c>
      <c r="AI66" s="132"/>
      <c r="AJ66" s="133"/>
      <c r="AK66" s="134">
        <f>SUM(F66:AJ66)</f>
        <v>204</v>
      </c>
      <c r="AL66" s="133">
        <f>SUM(AK66/24)</f>
        <v>8.5</v>
      </c>
      <c r="AM66" s="247">
        <f>AL66*8125</f>
        <v>69062.5</v>
      </c>
      <c r="AN66" s="15" t="s">
        <v>124</v>
      </c>
      <c r="AO66" s="1"/>
    </row>
    <row r="67" spans="1:41" ht="35.1" customHeight="1" x14ac:dyDescent="0.25">
      <c r="A67" s="69">
        <v>34</v>
      </c>
      <c r="B67" s="124" t="s">
        <v>63</v>
      </c>
      <c r="C67" s="128" t="s">
        <v>137</v>
      </c>
      <c r="D67" s="125" t="s">
        <v>64</v>
      </c>
      <c r="E67" s="126" t="s">
        <v>62</v>
      </c>
      <c r="F67" s="111">
        <v>24</v>
      </c>
      <c r="G67" s="127"/>
      <c r="H67" s="127"/>
      <c r="I67" s="127"/>
      <c r="J67" s="27">
        <v>24</v>
      </c>
      <c r="K67" s="64"/>
      <c r="L67" s="127"/>
      <c r="M67" s="127"/>
      <c r="N67" s="232">
        <v>24</v>
      </c>
      <c r="O67" s="127"/>
      <c r="P67" s="127"/>
      <c r="Q67" s="64"/>
      <c r="R67" s="27">
        <v>24</v>
      </c>
      <c r="S67" s="127"/>
      <c r="T67" s="127"/>
      <c r="U67" s="127"/>
      <c r="V67" s="232">
        <v>24</v>
      </c>
      <c r="W67" s="127"/>
      <c r="X67" s="64"/>
      <c r="Y67" s="64"/>
      <c r="Z67" s="232">
        <v>24</v>
      </c>
      <c r="AA67" s="127"/>
      <c r="AB67" s="127"/>
      <c r="AC67" s="127"/>
      <c r="AD67" s="232">
        <v>24</v>
      </c>
      <c r="AE67" s="64"/>
      <c r="AF67" s="64"/>
      <c r="AG67" s="127"/>
      <c r="AH67" s="232">
        <v>24</v>
      </c>
      <c r="AI67" s="127"/>
      <c r="AJ67" s="135"/>
      <c r="AK67" s="134">
        <f t="shared" ref="AK67:AK71" si="22">SUM(F67:AJ67)</f>
        <v>192</v>
      </c>
      <c r="AL67" s="133">
        <f t="shared" ref="AL67:AL71" si="23">SUM(AK67/24)</f>
        <v>8</v>
      </c>
      <c r="AM67" s="248">
        <f>AL67*6250</f>
        <v>50000</v>
      </c>
      <c r="AN67" s="15" t="s">
        <v>124</v>
      </c>
      <c r="AO67" s="1"/>
    </row>
    <row r="68" spans="1:41" ht="35.1" customHeight="1" x14ac:dyDescent="0.25">
      <c r="A68" s="69">
        <v>35</v>
      </c>
      <c r="B68" s="143" t="s">
        <v>116</v>
      </c>
      <c r="C68" s="33" t="s">
        <v>135</v>
      </c>
      <c r="D68" s="145" t="s">
        <v>117</v>
      </c>
      <c r="E68" s="146" t="s">
        <v>62</v>
      </c>
      <c r="F68" s="127"/>
      <c r="G68" s="127"/>
      <c r="H68" s="127"/>
      <c r="I68" s="127"/>
      <c r="J68" s="64"/>
      <c r="K68" s="64"/>
      <c r="L68" s="127"/>
      <c r="M68" s="127"/>
      <c r="N68" s="127"/>
      <c r="O68" s="127"/>
      <c r="P68" s="127"/>
      <c r="Q68" s="64"/>
      <c r="R68" s="64"/>
      <c r="S68" s="127"/>
      <c r="T68" s="127"/>
      <c r="U68" s="127"/>
      <c r="V68" s="232">
        <v>24</v>
      </c>
      <c r="W68" s="127"/>
      <c r="X68" s="64"/>
      <c r="Y68" s="64"/>
      <c r="Z68" s="232">
        <v>24</v>
      </c>
      <c r="AA68" s="127"/>
      <c r="AB68" s="127"/>
      <c r="AC68" s="127"/>
      <c r="AD68" s="232">
        <v>24</v>
      </c>
      <c r="AE68" s="64"/>
      <c r="AF68" s="64"/>
      <c r="AG68" s="127"/>
      <c r="AH68" s="232">
        <v>24</v>
      </c>
      <c r="AI68" s="127"/>
      <c r="AJ68" s="135"/>
      <c r="AK68" s="134">
        <f t="shared" si="22"/>
        <v>96</v>
      </c>
      <c r="AL68" s="133">
        <f t="shared" si="23"/>
        <v>4</v>
      </c>
      <c r="AM68" s="248">
        <f>AL68*6250</f>
        <v>25000</v>
      </c>
      <c r="AN68" s="15"/>
      <c r="AO68" s="1"/>
    </row>
    <row r="69" spans="1:41" ht="35.1" customHeight="1" x14ac:dyDescent="0.25">
      <c r="A69" s="52"/>
      <c r="B69" s="124" t="s">
        <v>65</v>
      </c>
      <c r="C69" s="33" t="s">
        <v>135</v>
      </c>
      <c r="D69" s="127" t="s">
        <v>66</v>
      </c>
      <c r="E69" s="126" t="s">
        <v>62</v>
      </c>
      <c r="F69" s="111">
        <v>24</v>
      </c>
      <c r="G69" s="127"/>
      <c r="H69" s="127"/>
      <c r="I69" s="127"/>
      <c r="J69" s="27">
        <v>24</v>
      </c>
      <c r="K69" s="64"/>
      <c r="L69" s="115" t="s">
        <v>151</v>
      </c>
      <c r="M69" s="115" t="s">
        <v>151</v>
      </c>
      <c r="N69" s="115" t="s">
        <v>151</v>
      </c>
      <c r="O69" s="115" t="s">
        <v>151</v>
      </c>
      <c r="P69" s="115" t="s">
        <v>151</v>
      </c>
      <c r="Q69" s="115" t="s">
        <v>151</v>
      </c>
      <c r="R69" s="115" t="s">
        <v>151</v>
      </c>
      <c r="S69" s="115" t="s">
        <v>151</v>
      </c>
      <c r="T69" s="115" t="s">
        <v>151</v>
      </c>
      <c r="U69" s="115" t="s">
        <v>151</v>
      </c>
      <c r="V69" s="115" t="s">
        <v>151</v>
      </c>
      <c r="W69" s="115" t="s">
        <v>151</v>
      </c>
      <c r="X69" s="115" t="s">
        <v>151</v>
      </c>
      <c r="Y69" s="115" t="s">
        <v>151</v>
      </c>
      <c r="Z69" s="115" t="s">
        <v>151</v>
      </c>
      <c r="AA69" s="115" t="s">
        <v>151</v>
      </c>
      <c r="AB69" s="115" t="s">
        <v>151</v>
      </c>
      <c r="AC69" s="115" t="s">
        <v>151</v>
      </c>
      <c r="AD69" s="115" t="s">
        <v>151</v>
      </c>
      <c r="AE69" s="115" t="s">
        <v>151</v>
      </c>
      <c r="AF69" s="115" t="s">
        <v>151</v>
      </c>
      <c r="AG69" s="115" t="s">
        <v>151</v>
      </c>
      <c r="AH69" s="115" t="s">
        <v>151</v>
      </c>
      <c r="AI69" s="115" t="s">
        <v>151</v>
      </c>
      <c r="AJ69" s="116" t="s">
        <v>151</v>
      </c>
      <c r="AK69" s="134">
        <f t="shared" si="22"/>
        <v>48</v>
      </c>
      <c r="AL69" s="133">
        <f t="shared" si="23"/>
        <v>2</v>
      </c>
      <c r="AM69" s="248">
        <f t="shared" ref="AM69:AM71" si="24">AL69*6250</f>
        <v>12500</v>
      </c>
      <c r="AN69" s="22"/>
      <c r="AO69" s="5"/>
    </row>
    <row r="70" spans="1:41" ht="35.1" customHeight="1" x14ac:dyDescent="0.25">
      <c r="A70" s="52">
        <v>36</v>
      </c>
      <c r="B70" s="124" t="s">
        <v>21</v>
      </c>
      <c r="C70" s="128" t="s">
        <v>137</v>
      </c>
      <c r="D70" s="127" t="s">
        <v>22</v>
      </c>
      <c r="E70" s="126" t="s">
        <v>62</v>
      </c>
      <c r="F70" s="111">
        <v>24</v>
      </c>
      <c r="G70" s="127"/>
      <c r="H70" s="127"/>
      <c r="I70" s="127"/>
      <c r="J70" s="27">
        <v>24</v>
      </c>
      <c r="K70" s="64"/>
      <c r="L70" s="127"/>
      <c r="M70" s="127"/>
      <c r="N70" s="232">
        <v>24</v>
      </c>
      <c r="O70" s="127"/>
      <c r="P70" s="127"/>
      <c r="Q70" s="64"/>
      <c r="R70" s="27">
        <v>24</v>
      </c>
      <c r="S70" s="127"/>
      <c r="T70" s="127"/>
      <c r="U70" s="127"/>
      <c r="V70" s="232">
        <v>24</v>
      </c>
      <c r="W70" s="127"/>
      <c r="X70" s="64"/>
      <c r="Y70" s="64"/>
      <c r="Z70" s="232">
        <v>24</v>
      </c>
      <c r="AA70" s="127"/>
      <c r="AB70" s="127"/>
      <c r="AC70" s="127"/>
      <c r="AD70" s="232">
        <v>24</v>
      </c>
      <c r="AE70" s="64"/>
      <c r="AF70" s="64"/>
      <c r="AG70" s="127"/>
      <c r="AH70" s="232">
        <v>24</v>
      </c>
      <c r="AI70" s="127"/>
      <c r="AJ70" s="135"/>
      <c r="AK70" s="134">
        <f t="shared" si="22"/>
        <v>192</v>
      </c>
      <c r="AL70" s="133">
        <f t="shared" si="23"/>
        <v>8</v>
      </c>
      <c r="AM70" s="248">
        <f t="shared" si="24"/>
        <v>50000</v>
      </c>
      <c r="AN70" s="16"/>
    </row>
    <row r="71" spans="1:41" ht="35.1" customHeight="1" thickBot="1" x14ac:dyDescent="0.3">
      <c r="A71" s="52">
        <v>37</v>
      </c>
      <c r="B71" s="129" t="s">
        <v>127</v>
      </c>
      <c r="C71" s="109" t="s">
        <v>136</v>
      </c>
      <c r="D71" s="130" t="s">
        <v>128</v>
      </c>
      <c r="E71" s="131" t="s">
        <v>62</v>
      </c>
      <c r="F71" s="254" t="s">
        <v>172</v>
      </c>
      <c r="G71" s="130"/>
      <c r="H71" s="130"/>
      <c r="I71" s="130"/>
      <c r="J71" s="34">
        <v>24</v>
      </c>
      <c r="K71" s="65"/>
      <c r="L71" s="130"/>
      <c r="M71" s="130"/>
      <c r="N71" s="233">
        <v>24</v>
      </c>
      <c r="O71" s="130"/>
      <c r="P71" s="130"/>
      <c r="Q71" s="65"/>
      <c r="R71" s="34">
        <v>24</v>
      </c>
      <c r="S71" s="130"/>
      <c r="T71" s="130"/>
      <c r="U71" s="130"/>
      <c r="V71" s="233">
        <v>24</v>
      </c>
      <c r="W71" s="130"/>
      <c r="X71" s="65"/>
      <c r="Y71" s="65"/>
      <c r="Z71" s="233">
        <v>24</v>
      </c>
      <c r="AA71" s="130"/>
      <c r="AB71" s="130"/>
      <c r="AC71" s="130"/>
      <c r="AD71" s="233">
        <v>24</v>
      </c>
      <c r="AE71" s="65"/>
      <c r="AF71" s="65"/>
      <c r="AG71" s="130"/>
      <c r="AH71" s="233">
        <v>24</v>
      </c>
      <c r="AI71" s="130"/>
      <c r="AJ71" s="136"/>
      <c r="AK71" s="137">
        <f t="shared" si="22"/>
        <v>168</v>
      </c>
      <c r="AL71" s="218">
        <f t="shared" si="23"/>
        <v>7</v>
      </c>
      <c r="AM71" s="248">
        <f t="shared" si="24"/>
        <v>43750</v>
      </c>
      <c r="AN71" s="20"/>
      <c r="AO71" s="20"/>
    </row>
    <row r="72" spans="1:41" ht="22.5" customHeight="1" thickBot="1" x14ac:dyDescent="0.3">
      <c r="A72" s="387" t="s">
        <v>24</v>
      </c>
      <c r="B72" s="388"/>
      <c r="C72" s="388"/>
      <c r="D72" s="388"/>
      <c r="E72" s="388"/>
      <c r="F72" s="85">
        <f t="shared" ref="F72:AJ72" si="25">COUNT(F66:F71)</f>
        <v>4</v>
      </c>
      <c r="G72" s="66">
        <f t="shared" si="25"/>
        <v>0</v>
      </c>
      <c r="H72" s="66">
        <f t="shared" si="25"/>
        <v>0</v>
      </c>
      <c r="I72" s="66">
        <f t="shared" si="25"/>
        <v>0</v>
      </c>
      <c r="J72" s="66">
        <f t="shared" si="25"/>
        <v>5</v>
      </c>
      <c r="K72" s="66">
        <f t="shared" si="25"/>
        <v>0</v>
      </c>
      <c r="L72" s="66">
        <f t="shared" si="25"/>
        <v>0</v>
      </c>
      <c r="M72" s="66">
        <f t="shared" si="25"/>
        <v>0</v>
      </c>
      <c r="N72" s="66">
        <f t="shared" si="25"/>
        <v>4</v>
      </c>
      <c r="O72" s="66">
        <f t="shared" si="25"/>
        <v>0</v>
      </c>
      <c r="P72" s="66">
        <f t="shared" si="25"/>
        <v>0</v>
      </c>
      <c r="Q72" s="66">
        <f t="shared" si="25"/>
        <v>0</v>
      </c>
      <c r="R72" s="66">
        <f t="shared" si="25"/>
        <v>4</v>
      </c>
      <c r="S72" s="66">
        <f t="shared" si="25"/>
        <v>0</v>
      </c>
      <c r="T72" s="66">
        <f t="shared" si="25"/>
        <v>0</v>
      </c>
      <c r="U72" s="66">
        <f t="shared" si="25"/>
        <v>0</v>
      </c>
      <c r="V72" s="66">
        <f t="shared" si="25"/>
        <v>5</v>
      </c>
      <c r="W72" s="66">
        <f t="shared" si="25"/>
        <v>1</v>
      </c>
      <c r="X72" s="66">
        <f t="shared" si="25"/>
        <v>0</v>
      </c>
      <c r="Y72" s="66">
        <f t="shared" si="25"/>
        <v>0</v>
      </c>
      <c r="Z72" s="66">
        <f t="shared" si="25"/>
        <v>5</v>
      </c>
      <c r="AA72" s="66">
        <f t="shared" si="25"/>
        <v>0</v>
      </c>
      <c r="AB72" s="66">
        <f t="shared" si="25"/>
        <v>0</v>
      </c>
      <c r="AC72" s="66">
        <f t="shared" si="25"/>
        <v>0</v>
      </c>
      <c r="AD72" s="66">
        <f t="shared" si="25"/>
        <v>5</v>
      </c>
      <c r="AE72" s="66">
        <f t="shared" si="25"/>
        <v>0</v>
      </c>
      <c r="AF72" s="66">
        <f t="shared" si="25"/>
        <v>0</v>
      </c>
      <c r="AG72" s="66">
        <f t="shared" si="25"/>
        <v>0</v>
      </c>
      <c r="AH72" s="66">
        <f t="shared" si="25"/>
        <v>5</v>
      </c>
      <c r="AI72" s="66">
        <f t="shared" si="25"/>
        <v>0</v>
      </c>
      <c r="AJ72" s="66">
        <f t="shared" si="25"/>
        <v>0</v>
      </c>
      <c r="AK72" s="107">
        <f>SUM(AK66:AK71)</f>
        <v>900</v>
      </c>
      <c r="AL72" s="67">
        <f>SUM(AL66:AL71)</f>
        <v>37.5</v>
      </c>
      <c r="AM72" s="249">
        <f>AM66+AM67+AM68+AM69+AM70+AM71</f>
        <v>250312.5</v>
      </c>
      <c r="AN72" s="16"/>
    </row>
    <row r="73" spans="1:41" ht="35.1" customHeight="1" x14ac:dyDescent="0.25">
      <c r="A73" s="52">
        <v>38</v>
      </c>
      <c r="B73" s="138" t="s">
        <v>67</v>
      </c>
      <c r="C73" s="139" t="s">
        <v>60</v>
      </c>
      <c r="D73" s="140" t="s">
        <v>68</v>
      </c>
      <c r="E73" s="141" t="s">
        <v>62</v>
      </c>
      <c r="F73" s="142"/>
      <c r="G73" s="117">
        <v>24</v>
      </c>
      <c r="H73" s="149"/>
      <c r="I73" s="149"/>
      <c r="J73" s="89"/>
      <c r="K73" s="35">
        <v>24</v>
      </c>
      <c r="L73" s="149"/>
      <c r="M73" s="149"/>
      <c r="N73" s="149"/>
      <c r="O73" s="117">
        <v>24</v>
      </c>
      <c r="P73" s="149"/>
      <c r="Q73" s="89"/>
      <c r="R73" s="89"/>
      <c r="S73" s="117">
        <v>24</v>
      </c>
      <c r="T73" s="149"/>
      <c r="U73" s="149"/>
      <c r="V73" s="149"/>
      <c r="W73" s="117">
        <v>24</v>
      </c>
      <c r="X73" s="89"/>
      <c r="Y73" s="89"/>
      <c r="Z73" s="149"/>
      <c r="AA73" s="117">
        <v>24</v>
      </c>
      <c r="AB73" s="149"/>
      <c r="AC73" s="149"/>
      <c r="AD73" s="149"/>
      <c r="AE73" s="35">
        <v>24</v>
      </c>
      <c r="AF73" s="89"/>
      <c r="AG73" s="149"/>
      <c r="AH73" s="149"/>
      <c r="AI73" s="117">
        <v>24</v>
      </c>
      <c r="AJ73" s="151"/>
      <c r="AK73" s="134">
        <f>SUM(F73:AJ73)</f>
        <v>192</v>
      </c>
      <c r="AL73" s="133">
        <f>SUM(AK73/24)</f>
        <v>8</v>
      </c>
      <c r="AM73" s="248">
        <f>AL73*8125</f>
        <v>65000</v>
      </c>
      <c r="AN73" s="15" t="s">
        <v>124</v>
      </c>
    </row>
    <row r="74" spans="1:41" ht="35.1" customHeight="1" x14ac:dyDescent="0.25">
      <c r="A74" s="52">
        <v>39</v>
      </c>
      <c r="B74" s="283" t="s">
        <v>206</v>
      </c>
      <c r="C74" s="144" t="s">
        <v>207</v>
      </c>
      <c r="D74" s="272" t="s">
        <v>208</v>
      </c>
      <c r="E74" s="273" t="s">
        <v>62</v>
      </c>
      <c r="F74" s="142"/>
      <c r="G74" s="142"/>
      <c r="H74" s="142"/>
      <c r="I74" s="142"/>
      <c r="J74" s="89"/>
      <c r="K74" s="209"/>
      <c r="L74" s="149"/>
      <c r="M74" s="149"/>
      <c r="N74" s="149"/>
      <c r="O74" s="149"/>
      <c r="P74" s="149"/>
      <c r="Q74" s="89"/>
      <c r="R74" s="89"/>
      <c r="S74" s="86"/>
      <c r="T74" s="149"/>
      <c r="U74" s="149"/>
      <c r="V74" s="149"/>
      <c r="W74" s="117">
        <v>24</v>
      </c>
      <c r="X74" s="89"/>
      <c r="Y74" s="89"/>
      <c r="Z74" s="149"/>
      <c r="AA74" s="117">
        <v>24</v>
      </c>
      <c r="AB74" s="149"/>
      <c r="AC74" s="149"/>
      <c r="AD74" s="149"/>
      <c r="AE74" s="35">
        <v>24</v>
      </c>
      <c r="AF74" s="89"/>
      <c r="AG74" s="149"/>
      <c r="AH74" s="149"/>
      <c r="AI74" s="117">
        <v>24</v>
      </c>
      <c r="AJ74" s="151"/>
      <c r="AK74" s="134">
        <f>SUM(F74:AJ74)</f>
        <v>96</v>
      </c>
      <c r="AL74" s="133">
        <f>SUM(AK74/24)</f>
        <v>4</v>
      </c>
      <c r="AM74" s="248">
        <f>AL74*6250</f>
        <v>25000</v>
      </c>
      <c r="AN74" s="15"/>
    </row>
    <row r="75" spans="1:41" ht="35.1" customHeight="1" x14ac:dyDescent="0.25">
      <c r="A75" s="52">
        <v>40</v>
      </c>
      <c r="B75" s="143" t="s">
        <v>69</v>
      </c>
      <c r="C75" s="144" t="s">
        <v>138</v>
      </c>
      <c r="D75" s="145" t="s">
        <v>70</v>
      </c>
      <c r="E75" s="146" t="s">
        <v>62</v>
      </c>
      <c r="F75" s="147"/>
      <c r="G75" s="118">
        <v>24</v>
      </c>
      <c r="H75" s="145"/>
      <c r="I75" s="119">
        <v>24</v>
      </c>
      <c r="J75" s="64"/>
      <c r="K75" s="27">
        <v>24</v>
      </c>
      <c r="L75" s="145"/>
      <c r="M75" s="208">
        <v>24</v>
      </c>
      <c r="N75" s="145"/>
      <c r="O75" s="118">
        <v>24</v>
      </c>
      <c r="P75" s="145"/>
      <c r="Q75" s="208">
        <v>24</v>
      </c>
      <c r="R75" s="64"/>
      <c r="S75" s="118">
        <v>24</v>
      </c>
      <c r="T75" s="145"/>
      <c r="U75" s="208">
        <v>24</v>
      </c>
      <c r="V75" s="145"/>
      <c r="W75" s="118">
        <v>24</v>
      </c>
      <c r="X75" s="64"/>
      <c r="Y75" s="64"/>
      <c r="Z75" s="145"/>
      <c r="AA75" s="118">
        <v>24</v>
      </c>
      <c r="AB75" s="145"/>
      <c r="AC75" s="145"/>
      <c r="AD75" s="145"/>
      <c r="AE75" s="27">
        <v>24</v>
      </c>
      <c r="AF75" s="64"/>
      <c r="AG75" s="145"/>
      <c r="AH75" s="145"/>
      <c r="AI75" s="118">
        <v>24</v>
      </c>
      <c r="AJ75" s="152"/>
      <c r="AK75" s="134">
        <f t="shared" ref="AK75:AK78" si="26">SUM(F75:AJ75)</f>
        <v>288</v>
      </c>
      <c r="AL75" s="133">
        <f t="shared" ref="AL75:AL78" si="27">SUM(AK75/24)</f>
        <v>12</v>
      </c>
      <c r="AM75" s="248">
        <f>AL75*6250</f>
        <v>75000</v>
      </c>
      <c r="AN75" s="16"/>
    </row>
    <row r="76" spans="1:41" ht="35.1" customHeight="1" x14ac:dyDescent="0.25">
      <c r="A76" s="52"/>
      <c r="B76" s="143" t="s">
        <v>116</v>
      </c>
      <c r="C76" s="33" t="s">
        <v>135</v>
      </c>
      <c r="D76" s="145" t="s">
        <v>117</v>
      </c>
      <c r="E76" s="146" t="s">
        <v>62</v>
      </c>
      <c r="F76" s="147"/>
      <c r="G76" s="118">
        <v>24</v>
      </c>
      <c r="H76" s="145"/>
      <c r="I76" s="145"/>
      <c r="J76" s="64"/>
      <c r="K76" s="27">
        <v>24</v>
      </c>
      <c r="L76" s="145"/>
      <c r="M76" s="145"/>
      <c r="N76" s="208">
        <v>24</v>
      </c>
      <c r="O76" s="250" t="s">
        <v>198</v>
      </c>
      <c r="P76" s="145"/>
      <c r="Q76" s="64"/>
      <c r="R76" s="213">
        <v>24</v>
      </c>
      <c r="S76" s="250" t="s">
        <v>198</v>
      </c>
      <c r="T76" s="145"/>
      <c r="U76" s="145"/>
      <c r="V76" s="145"/>
      <c r="W76" s="145"/>
      <c r="X76" s="64"/>
      <c r="Y76" s="64"/>
      <c r="Z76" s="145"/>
      <c r="AA76" s="145"/>
      <c r="AB76" s="145"/>
      <c r="AC76" s="145"/>
      <c r="AD76" s="145"/>
      <c r="AE76" s="64"/>
      <c r="AF76" s="64"/>
      <c r="AG76" s="145"/>
      <c r="AH76" s="145"/>
      <c r="AI76" s="145"/>
      <c r="AJ76" s="145"/>
      <c r="AK76" s="134">
        <f t="shared" si="26"/>
        <v>96</v>
      </c>
      <c r="AL76" s="133">
        <f t="shared" si="27"/>
        <v>4</v>
      </c>
      <c r="AM76" s="248">
        <f>AL76*6250</f>
        <v>25000</v>
      </c>
      <c r="AN76" s="15" t="s">
        <v>124</v>
      </c>
    </row>
    <row r="77" spans="1:41" ht="35.1" customHeight="1" x14ac:dyDescent="0.25">
      <c r="A77" s="52">
        <v>41</v>
      </c>
      <c r="B77" s="49" t="s">
        <v>150</v>
      </c>
      <c r="C77" s="33" t="s">
        <v>136</v>
      </c>
      <c r="D77" s="145" t="s">
        <v>145</v>
      </c>
      <c r="E77" s="146" t="s">
        <v>62</v>
      </c>
      <c r="F77" s="147"/>
      <c r="G77" s="118">
        <v>24</v>
      </c>
      <c r="H77" s="145"/>
      <c r="I77" s="145"/>
      <c r="J77" s="64"/>
      <c r="K77" s="27">
        <v>24</v>
      </c>
      <c r="L77" s="145"/>
      <c r="M77" s="145"/>
      <c r="N77" s="145"/>
      <c r="O77" s="118">
        <v>24</v>
      </c>
      <c r="P77" s="145"/>
      <c r="Q77" s="64"/>
      <c r="R77" s="64"/>
      <c r="S77" s="118">
        <v>24</v>
      </c>
      <c r="T77" s="145"/>
      <c r="U77" s="145"/>
      <c r="V77" s="145"/>
      <c r="W77" s="118">
        <v>24</v>
      </c>
      <c r="X77" s="64"/>
      <c r="Y77" s="64"/>
      <c r="Z77" s="145"/>
      <c r="AA77" s="118">
        <v>24</v>
      </c>
      <c r="AB77" s="145"/>
      <c r="AC77" s="145"/>
      <c r="AD77" s="145"/>
      <c r="AE77" s="27">
        <v>24</v>
      </c>
      <c r="AF77" s="64"/>
      <c r="AG77" s="145"/>
      <c r="AH77" s="145"/>
      <c r="AI77" s="118">
        <v>24</v>
      </c>
      <c r="AJ77" s="152"/>
      <c r="AK77" s="134">
        <f t="shared" si="26"/>
        <v>192</v>
      </c>
      <c r="AL77" s="133">
        <f t="shared" si="27"/>
        <v>8</v>
      </c>
      <c r="AM77" s="248">
        <f>AL77*6250</f>
        <v>50000</v>
      </c>
      <c r="AN77" s="15" t="s">
        <v>124</v>
      </c>
    </row>
    <row r="78" spans="1:41" ht="35.1" customHeight="1" thickBot="1" x14ac:dyDescent="0.3">
      <c r="A78" s="52">
        <v>42</v>
      </c>
      <c r="B78" s="108" t="s">
        <v>200</v>
      </c>
      <c r="C78" s="109" t="s">
        <v>135</v>
      </c>
      <c r="D78" s="150" t="s">
        <v>201</v>
      </c>
      <c r="E78" s="182" t="s">
        <v>62</v>
      </c>
      <c r="F78" s="148"/>
      <c r="G78" s="150"/>
      <c r="H78" s="150"/>
      <c r="I78" s="150"/>
      <c r="J78" s="65"/>
      <c r="K78" s="65"/>
      <c r="L78" s="150"/>
      <c r="M78" s="150"/>
      <c r="N78" s="150"/>
      <c r="O78" s="251">
        <v>24</v>
      </c>
      <c r="P78" s="150"/>
      <c r="Q78" s="65"/>
      <c r="R78" s="65"/>
      <c r="S78" s="251">
        <v>24</v>
      </c>
      <c r="T78" s="150"/>
      <c r="U78" s="150"/>
      <c r="V78" s="150"/>
      <c r="W78" s="251">
        <v>24</v>
      </c>
      <c r="X78" s="65"/>
      <c r="Y78" s="65"/>
      <c r="Z78" s="150"/>
      <c r="AA78" s="251">
        <v>24</v>
      </c>
      <c r="AB78" s="150"/>
      <c r="AC78" s="150"/>
      <c r="AD78" s="150"/>
      <c r="AE78" s="34">
        <v>24</v>
      </c>
      <c r="AF78" s="65"/>
      <c r="AG78" s="150"/>
      <c r="AH78" s="150"/>
      <c r="AI78" s="251">
        <v>24</v>
      </c>
      <c r="AJ78" s="153"/>
      <c r="AK78" s="134">
        <f t="shared" si="26"/>
        <v>144</v>
      </c>
      <c r="AL78" s="133">
        <f t="shared" si="27"/>
        <v>6</v>
      </c>
      <c r="AM78" s="248">
        <f>AL78*6250</f>
        <v>37500</v>
      </c>
      <c r="AN78" s="20"/>
    </row>
    <row r="79" spans="1:41" ht="24" customHeight="1" thickBot="1" x14ac:dyDescent="0.3">
      <c r="A79" s="387" t="s">
        <v>24</v>
      </c>
      <c r="B79" s="388"/>
      <c r="C79" s="388"/>
      <c r="D79" s="388"/>
      <c r="E79" s="388"/>
      <c r="F79" s="85">
        <f>COUNT(F73:F78)</f>
        <v>0</v>
      </c>
      <c r="G79" s="66">
        <f t="shared" ref="G79:AJ79" si="28">COUNT(G73:G78)</f>
        <v>4</v>
      </c>
      <c r="H79" s="66">
        <f t="shared" si="28"/>
        <v>0</v>
      </c>
      <c r="I79" s="66">
        <f t="shared" si="28"/>
        <v>1</v>
      </c>
      <c r="J79" s="66">
        <f t="shared" si="28"/>
        <v>0</v>
      </c>
      <c r="K79" s="66">
        <f t="shared" si="28"/>
        <v>4</v>
      </c>
      <c r="L79" s="66">
        <f t="shared" si="28"/>
        <v>0</v>
      </c>
      <c r="M79" s="66">
        <f t="shared" si="28"/>
        <v>1</v>
      </c>
      <c r="N79" s="66">
        <f t="shared" si="28"/>
        <v>1</v>
      </c>
      <c r="O79" s="66">
        <f t="shared" si="28"/>
        <v>4</v>
      </c>
      <c r="P79" s="66">
        <f t="shared" si="28"/>
        <v>0</v>
      </c>
      <c r="Q79" s="66">
        <f t="shared" si="28"/>
        <v>1</v>
      </c>
      <c r="R79" s="66">
        <f t="shared" si="28"/>
        <v>1</v>
      </c>
      <c r="S79" s="66">
        <f t="shared" si="28"/>
        <v>4</v>
      </c>
      <c r="T79" s="66">
        <f t="shared" si="28"/>
        <v>0</v>
      </c>
      <c r="U79" s="66">
        <f t="shared" si="28"/>
        <v>1</v>
      </c>
      <c r="V79" s="66">
        <f t="shared" si="28"/>
        <v>0</v>
      </c>
      <c r="W79" s="66">
        <f t="shared" si="28"/>
        <v>5</v>
      </c>
      <c r="X79" s="66">
        <f t="shared" si="28"/>
        <v>0</v>
      </c>
      <c r="Y79" s="66">
        <f t="shared" si="28"/>
        <v>0</v>
      </c>
      <c r="Z79" s="66">
        <f t="shared" si="28"/>
        <v>0</v>
      </c>
      <c r="AA79" s="66">
        <f t="shared" si="28"/>
        <v>5</v>
      </c>
      <c r="AB79" s="66">
        <f t="shared" si="28"/>
        <v>0</v>
      </c>
      <c r="AC79" s="66">
        <f t="shared" si="28"/>
        <v>0</v>
      </c>
      <c r="AD79" s="66">
        <f t="shared" si="28"/>
        <v>0</v>
      </c>
      <c r="AE79" s="66">
        <f t="shared" si="28"/>
        <v>5</v>
      </c>
      <c r="AF79" s="66">
        <f t="shared" si="28"/>
        <v>0</v>
      </c>
      <c r="AG79" s="66">
        <f t="shared" si="28"/>
        <v>0</v>
      </c>
      <c r="AH79" s="66">
        <f t="shared" si="28"/>
        <v>0</v>
      </c>
      <c r="AI79" s="66">
        <f t="shared" si="28"/>
        <v>5</v>
      </c>
      <c r="AJ79" s="87">
        <f t="shared" si="28"/>
        <v>0</v>
      </c>
      <c r="AK79" s="107">
        <f>SUM(AK73:AK78)</f>
        <v>1008</v>
      </c>
      <c r="AL79" s="67">
        <f>SUM(AL73:AL78)</f>
        <v>42</v>
      </c>
      <c r="AM79" s="249">
        <f>AM73+AM75+AM76+AM77+AM78</f>
        <v>252500</v>
      </c>
      <c r="AN79" s="16"/>
    </row>
    <row r="80" spans="1:41" ht="35.1" customHeight="1" x14ac:dyDescent="0.25">
      <c r="A80" s="69">
        <v>43</v>
      </c>
      <c r="B80" s="187" t="s">
        <v>45</v>
      </c>
      <c r="C80" s="121" t="s">
        <v>60</v>
      </c>
      <c r="D80" s="188" t="s">
        <v>115</v>
      </c>
      <c r="E80" s="189" t="s">
        <v>62</v>
      </c>
      <c r="F80" s="159"/>
      <c r="G80" s="160"/>
      <c r="H80" s="180">
        <v>24</v>
      </c>
      <c r="I80" s="160"/>
      <c r="J80" s="89"/>
      <c r="K80" s="89"/>
      <c r="L80" s="212" t="s">
        <v>198</v>
      </c>
      <c r="M80" s="207">
        <v>24</v>
      </c>
      <c r="N80" s="160"/>
      <c r="O80" s="160"/>
      <c r="P80" s="180">
        <v>24</v>
      </c>
      <c r="Q80" s="89"/>
      <c r="R80" s="89"/>
      <c r="S80" s="160"/>
      <c r="T80" s="180">
        <v>24</v>
      </c>
      <c r="U80" s="160"/>
      <c r="V80" s="207">
        <v>24</v>
      </c>
      <c r="W80" s="160"/>
      <c r="X80" s="35">
        <v>24</v>
      </c>
      <c r="Y80" s="89"/>
      <c r="Z80" s="160"/>
      <c r="AA80" s="160"/>
      <c r="AB80" s="180">
        <v>24</v>
      </c>
      <c r="AC80" s="160"/>
      <c r="AD80" s="207">
        <v>24</v>
      </c>
      <c r="AE80" s="89"/>
      <c r="AF80" s="35">
        <v>24</v>
      </c>
      <c r="AG80" s="160"/>
      <c r="AH80" s="207">
        <v>24</v>
      </c>
      <c r="AI80" s="160"/>
      <c r="AJ80" s="291">
        <v>24</v>
      </c>
      <c r="AK80" s="134">
        <f>SUM(F80:AJ80)</f>
        <v>264</v>
      </c>
      <c r="AL80" s="133">
        <f>SUM(AK80/24)</f>
        <v>11</v>
      </c>
      <c r="AM80" s="248">
        <f>AL80*8125</f>
        <v>89375</v>
      </c>
      <c r="AN80" s="16"/>
    </row>
    <row r="81" spans="1:41" ht="35.1" customHeight="1" x14ac:dyDescent="0.25">
      <c r="A81" s="69">
        <v>44</v>
      </c>
      <c r="B81" s="154" t="s">
        <v>71</v>
      </c>
      <c r="C81" s="155" t="s">
        <v>137</v>
      </c>
      <c r="D81" s="156" t="s">
        <v>72</v>
      </c>
      <c r="E81" s="157" t="s">
        <v>62</v>
      </c>
      <c r="F81" s="161"/>
      <c r="G81" s="156"/>
      <c r="H81" s="181">
        <v>24</v>
      </c>
      <c r="I81" s="156"/>
      <c r="J81" s="64"/>
      <c r="K81" s="64"/>
      <c r="L81" s="181">
        <v>24</v>
      </c>
      <c r="M81" s="156"/>
      <c r="N81" s="156"/>
      <c r="O81" s="156"/>
      <c r="P81" s="200" t="s">
        <v>146</v>
      </c>
      <c r="Q81" s="200" t="s">
        <v>146</v>
      </c>
      <c r="R81" s="200" t="s">
        <v>146</v>
      </c>
      <c r="S81" s="200" t="s">
        <v>146</v>
      </c>
      <c r="T81" s="200" t="s">
        <v>146</v>
      </c>
      <c r="U81" s="200" t="s">
        <v>146</v>
      </c>
      <c r="V81" s="200" t="s">
        <v>146</v>
      </c>
      <c r="W81" s="200" t="s">
        <v>146</v>
      </c>
      <c r="X81" s="200" t="s">
        <v>146</v>
      </c>
      <c r="Y81" s="200" t="s">
        <v>146</v>
      </c>
      <c r="Z81" s="200" t="s">
        <v>146</v>
      </c>
      <c r="AA81" s="200" t="s">
        <v>146</v>
      </c>
      <c r="AB81" s="200" t="s">
        <v>146</v>
      </c>
      <c r="AC81" s="200" t="s">
        <v>146</v>
      </c>
      <c r="AD81" s="200" t="s">
        <v>146</v>
      </c>
      <c r="AE81" s="200" t="s">
        <v>146</v>
      </c>
      <c r="AF81" s="200" t="s">
        <v>146</v>
      </c>
      <c r="AG81" s="200" t="s">
        <v>146</v>
      </c>
      <c r="AH81" s="200" t="s">
        <v>146</v>
      </c>
      <c r="AI81" s="200" t="s">
        <v>146</v>
      </c>
      <c r="AJ81" s="201" t="s">
        <v>146</v>
      </c>
      <c r="AK81" s="134">
        <f t="shared" ref="AK81:AK84" si="29">SUM(F81:AJ81)</f>
        <v>48</v>
      </c>
      <c r="AL81" s="133">
        <v>2</v>
      </c>
      <c r="AM81" s="248">
        <f>AL81*6250</f>
        <v>12500</v>
      </c>
      <c r="AN81" s="21"/>
    </row>
    <row r="82" spans="1:41" ht="35.1" customHeight="1" x14ac:dyDescent="0.25">
      <c r="A82" s="69">
        <v>45</v>
      </c>
      <c r="B82" s="154" t="s">
        <v>73</v>
      </c>
      <c r="C82" s="155" t="s">
        <v>137</v>
      </c>
      <c r="D82" s="156" t="s">
        <v>74</v>
      </c>
      <c r="E82" s="157" t="s">
        <v>62</v>
      </c>
      <c r="F82" s="161"/>
      <c r="G82" s="156"/>
      <c r="H82" s="181">
        <v>24</v>
      </c>
      <c r="I82" s="156"/>
      <c r="J82" s="64"/>
      <c r="K82" s="64"/>
      <c r="L82" s="181">
        <v>24</v>
      </c>
      <c r="M82" s="156"/>
      <c r="N82" s="156"/>
      <c r="O82" s="156"/>
      <c r="P82" s="181">
        <v>24</v>
      </c>
      <c r="Q82" s="64"/>
      <c r="R82" s="64"/>
      <c r="S82" s="156"/>
      <c r="T82" s="181">
        <v>24</v>
      </c>
      <c r="U82" s="156"/>
      <c r="V82" s="156"/>
      <c r="W82" s="156"/>
      <c r="X82" s="27">
        <v>24</v>
      </c>
      <c r="Y82" s="64"/>
      <c r="Z82" s="156"/>
      <c r="AA82" s="156"/>
      <c r="AB82" s="181">
        <v>24</v>
      </c>
      <c r="AC82" s="156"/>
      <c r="AD82" s="156"/>
      <c r="AE82" s="64"/>
      <c r="AF82" s="27">
        <v>24</v>
      </c>
      <c r="AG82" s="156"/>
      <c r="AH82" s="156"/>
      <c r="AI82" s="156"/>
      <c r="AJ82" s="293">
        <v>24</v>
      </c>
      <c r="AK82" s="134">
        <f t="shared" si="29"/>
        <v>192</v>
      </c>
      <c r="AL82" s="133">
        <f t="shared" ref="AL82:AL84" si="30">SUM(AK82/24)</f>
        <v>8</v>
      </c>
      <c r="AM82" s="248">
        <f t="shared" ref="AM82:AM84" si="31">AL82*6250</f>
        <v>50000</v>
      </c>
      <c r="AN82" s="16" t="s">
        <v>147</v>
      </c>
    </row>
    <row r="83" spans="1:41" ht="35.1" customHeight="1" x14ac:dyDescent="0.25">
      <c r="A83" s="69">
        <v>46</v>
      </c>
      <c r="B83" s="154" t="s">
        <v>99</v>
      </c>
      <c r="C83" s="158" t="s">
        <v>135</v>
      </c>
      <c r="D83" s="156" t="s">
        <v>100</v>
      </c>
      <c r="E83" s="157" t="s">
        <v>62</v>
      </c>
      <c r="F83" s="161"/>
      <c r="G83" s="156"/>
      <c r="H83" s="181">
        <v>24</v>
      </c>
      <c r="I83" s="156"/>
      <c r="J83" s="64"/>
      <c r="K83" s="64"/>
      <c r="L83" s="181">
        <v>24</v>
      </c>
      <c r="M83" s="156"/>
      <c r="N83" s="156"/>
      <c r="O83" s="156"/>
      <c r="P83" s="181">
        <v>24</v>
      </c>
      <c r="Q83" s="64"/>
      <c r="R83" s="64"/>
      <c r="S83" s="156"/>
      <c r="T83" s="255" t="s">
        <v>172</v>
      </c>
      <c r="U83" s="156"/>
      <c r="V83" s="156"/>
      <c r="W83" s="156"/>
      <c r="X83" s="27">
        <v>24</v>
      </c>
      <c r="Y83" s="64"/>
      <c r="Z83" s="156"/>
      <c r="AA83" s="156"/>
      <c r="AB83" s="181">
        <v>24</v>
      </c>
      <c r="AC83" s="156"/>
      <c r="AD83" s="156"/>
      <c r="AE83" s="64"/>
      <c r="AF83" s="27">
        <v>24</v>
      </c>
      <c r="AG83" s="156"/>
      <c r="AH83" s="156"/>
      <c r="AI83" s="156"/>
      <c r="AJ83" s="293">
        <v>24</v>
      </c>
      <c r="AK83" s="134">
        <f t="shared" si="29"/>
        <v>168</v>
      </c>
      <c r="AL83" s="133">
        <f t="shared" si="30"/>
        <v>7</v>
      </c>
      <c r="AM83" s="248">
        <f t="shared" si="31"/>
        <v>43750</v>
      </c>
      <c r="AN83" s="15" t="s">
        <v>124</v>
      </c>
      <c r="AO83" s="5"/>
    </row>
    <row r="84" spans="1:41" ht="35.1" customHeight="1" thickBot="1" x14ac:dyDescent="0.3">
      <c r="A84" s="69">
        <v>47</v>
      </c>
      <c r="B84" s="183" t="s">
        <v>48</v>
      </c>
      <c r="C84" s="184" t="s">
        <v>136</v>
      </c>
      <c r="D84" s="162" t="s">
        <v>49</v>
      </c>
      <c r="E84" s="185" t="s">
        <v>62</v>
      </c>
      <c r="F84" s="198" t="s">
        <v>146</v>
      </c>
      <c r="G84" s="199" t="s">
        <v>146</v>
      </c>
      <c r="H84" s="199" t="s">
        <v>146</v>
      </c>
      <c r="I84" s="199" t="s">
        <v>146</v>
      </c>
      <c r="J84" s="199" t="s">
        <v>146</v>
      </c>
      <c r="K84" s="199" t="s">
        <v>146</v>
      </c>
      <c r="L84" s="199" t="s">
        <v>146</v>
      </c>
      <c r="M84" s="199" t="s">
        <v>146</v>
      </c>
      <c r="N84" s="199" t="s">
        <v>146</v>
      </c>
      <c r="O84" s="199" t="s">
        <v>146</v>
      </c>
      <c r="P84" s="252">
        <v>24</v>
      </c>
      <c r="Q84" s="65"/>
      <c r="R84" s="65"/>
      <c r="S84" s="162"/>
      <c r="T84" s="252">
        <v>24</v>
      </c>
      <c r="U84" s="162"/>
      <c r="V84" s="162"/>
      <c r="W84" s="162"/>
      <c r="X84" s="34">
        <v>24</v>
      </c>
      <c r="Y84" s="65"/>
      <c r="Z84" s="162"/>
      <c r="AA84" s="162"/>
      <c r="AB84" s="252">
        <v>24</v>
      </c>
      <c r="AC84" s="162"/>
      <c r="AD84" s="162"/>
      <c r="AE84" s="65"/>
      <c r="AF84" s="288" t="s">
        <v>172</v>
      </c>
      <c r="AG84" s="162"/>
      <c r="AH84" s="162"/>
      <c r="AI84" s="156"/>
      <c r="AJ84" s="294">
        <v>24</v>
      </c>
      <c r="AK84" s="137">
        <f t="shared" si="29"/>
        <v>120</v>
      </c>
      <c r="AL84" s="218">
        <f t="shared" si="30"/>
        <v>5</v>
      </c>
      <c r="AM84" s="248">
        <f t="shared" si="31"/>
        <v>31250</v>
      </c>
      <c r="AN84" s="15"/>
    </row>
    <row r="85" spans="1:41" ht="22.5" customHeight="1" thickBot="1" x14ac:dyDescent="0.3">
      <c r="A85" s="387" t="s">
        <v>24</v>
      </c>
      <c r="B85" s="388"/>
      <c r="C85" s="388"/>
      <c r="D85" s="388"/>
      <c r="E85" s="388"/>
      <c r="F85" s="85">
        <f>COUNT(F80:F84)</f>
        <v>0</v>
      </c>
      <c r="G85" s="66">
        <f t="shared" ref="G85:AJ85" si="32">COUNT(G80:G84)</f>
        <v>0</v>
      </c>
      <c r="H85" s="66">
        <f t="shared" si="32"/>
        <v>4</v>
      </c>
      <c r="I85" s="66">
        <f t="shared" si="32"/>
        <v>0</v>
      </c>
      <c r="J85" s="66">
        <f t="shared" si="32"/>
        <v>0</v>
      </c>
      <c r="K85" s="66">
        <f t="shared" si="32"/>
        <v>0</v>
      </c>
      <c r="L85" s="66">
        <f t="shared" si="32"/>
        <v>3</v>
      </c>
      <c r="M85" s="66">
        <f t="shared" si="32"/>
        <v>1</v>
      </c>
      <c r="N85" s="66">
        <f t="shared" si="32"/>
        <v>0</v>
      </c>
      <c r="O85" s="66">
        <f t="shared" si="32"/>
        <v>0</v>
      </c>
      <c r="P85" s="66">
        <f t="shared" si="32"/>
        <v>4</v>
      </c>
      <c r="Q85" s="66">
        <f t="shared" si="32"/>
        <v>0</v>
      </c>
      <c r="R85" s="66">
        <f t="shared" si="32"/>
        <v>0</v>
      </c>
      <c r="S85" s="66">
        <f t="shared" si="32"/>
        <v>0</v>
      </c>
      <c r="T85" s="66">
        <f t="shared" si="32"/>
        <v>3</v>
      </c>
      <c r="U85" s="66">
        <f t="shared" si="32"/>
        <v>0</v>
      </c>
      <c r="V85" s="66">
        <f t="shared" si="32"/>
        <v>1</v>
      </c>
      <c r="W85" s="66">
        <f t="shared" si="32"/>
        <v>0</v>
      </c>
      <c r="X85" s="66">
        <f t="shared" si="32"/>
        <v>4</v>
      </c>
      <c r="Y85" s="66">
        <f t="shared" si="32"/>
        <v>0</v>
      </c>
      <c r="Z85" s="66">
        <f t="shared" si="32"/>
        <v>0</v>
      </c>
      <c r="AA85" s="66">
        <f t="shared" si="32"/>
        <v>0</v>
      </c>
      <c r="AB85" s="66">
        <f t="shared" si="32"/>
        <v>4</v>
      </c>
      <c r="AC85" s="66">
        <f t="shared" si="32"/>
        <v>0</v>
      </c>
      <c r="AD85" s="66">
        <f t="shared" si="32"/>
        <v>1</v>
      </c>
      <c r="AE85" s="66">
        <f t="shared" si="32"/>
        <v>0</v>
      </c>
      <c r="AF85" s="66">
        <f t="shared" si="32"/>
        <v>3</v>
      </c>
      <c r="AG85" s="66">
        <f t="shared" si="32"/>
        <v>0</v>
      </c>
      <c r="AH85" s="66">
        <f t="shared" si="32"/>
        <v>1</v>
      </c>
      <c r="AI85" s="66">
        <f t="shared" si="32"/>
        <v>0</v>
      </c>
      <c r="AJ85" s="87">
        <f t="shared" si="32"/>
        <v>4</v>
      </c>
      <c r="AK85" s="107">
        <f>SUM(AK80:AK84)</f>
        <v>792</v>
      </c>
      <c r="AL85" s="67">
        <f>SUM(AL80:AL84)</f>
        <v>33</v>
      </c>
      <c r="AM85" s="249">
        <f>AM80+AM81+AM82+AM83+AM84</f>
        <v>226875</v>
      </c>
      <c r="AN85" s="16"/>
    </row>
    <row r="86" spans="1:41" ht="35.1" customHeight="1" x14ac:dyDescent="0.25">
      <c r="A86" s="69">
        <v>48</v>
      </c>
      <c r="B86" s="163" t="s">
        <v>75</v>
      </c>
      <c r="C86" s="121" t="s">
        <v>60</v>
      </c>
      <c r="D86" s="164" t="s">
        <v>76</v>
      </c>
      <c r="E86" s="165" t="s">
        <v>62</v>
      </c>
      <c r="F86" s="171"/>
      <c r="G86" s="172"/>
      <c r="H86" s="172"/>
      <c r="I86" s="35">
        <v>24</v>
      </c>
      <c r="J86" s="89"/>
      <c r="K86" s="89"/>
      <c r="L86" s="206">
        <v>24</v>
      </c>
      <c r="M86" s="211" t="s">
        <v>198</v>
      </c>
      <c r="N86" s="172"/>
      <c r="O86" s="172"/>
      <c r="P86" s="172"/>
      <c r="Q86" s="35">
        <v>24</v>
      </c>
      <c r="R86" s="89"/>
      <c r="S86" s="172"/>
      <c r="T86" s="172"/>
      <c r="U86" s="35">
        <v>24</v>
      </c>
      <c r="V86" s="172"/>
      <c r="W86" s="172"/>
      <c r="X86" s="89"/>
      <c r="Y86" s="35">
        <v>24</v>
      </c>
      <c r="Z86" s="172"/>
      <c r="AA86" s="172"/>
      <c r="AB86" s="172"/>
      <c r="AC86" s="35">
        <v>24</v>
      </c>
      <c r="AD86" s="172"/>
      <c r="AE86" s="89"/>
      <c r="AF86" s="89"/>
      <c r="AG86" s="35">
        <v>24</v>
      </c>
      <c r="AH86" s="172"/>
      <c r="AI86" s="172"/>
      <c r="AJ86" s="177"/>
      <c r="AK86" s="134">
        <f>SUM(F86:AJ86)</f>
        <v>168</v>
      </c>
      <c r="AL86" s="133">
        <f>SUM(AK86/24)</f>
        <v>7</v>
      </c>
      <c r="AM86" s="248">
        <v>65000</v>
      </c>
      <c r="AN86" s="15" t="s">
        <v>124</v>
      </c>
    </row>
    <row r="87" spans="1:41" ht="35.1" customHeight="1" x14ac:dyDescent="0.25">
      <c r="A87" s="69">
        <v>49</v>
      </c>
      <c r="B87" s="166" t="s">
        <v>55</v>
      </c>
      <c r="C87" s="167" t="s">
        <v>137</v>
      </c>
      <c r="D87" s="168" t="s">
        <v>56</v>
      </c>
      <c r="E87" s="169" t="s">
        <v>62</v>
      </c>
      <c r="F87" s="173"/>
      <c r="G87" s="174"/>
      <c r="H87" s="174"/>
      <c r="I87" s="27">
        <v>24</v>
      </c>
      <c r="J87" s="64"/>
      <c r="K87" s="64"/>
      <c r="L87" s="174"/>
      <c r="M87" s="27">
        <v>24</v>
      </c>
      <c r="N87" s="174"/>
      <c r="O87" s="174"/>
      <c r="P87" s="174"/>
      <c r="Q87" s="27">
        <v>24</v>
      </c>
      <c r="R87" s="64"/>
      <c r="S87" s="174"/>
      <c r="T87" s="174"/>
      <c r="U87" s="27">
        <v>24</v>
      </c>
      <c r="V87" s="174"/>
      <c r="W87" s="174"/>
      <c r="X87" s="64"/>
      <c r="Y87" s="35">
        <v>24</v>
      </c>
      <c r="Z87" s="174"/>
      <c r="AA87" s="174"/>
      <c r="AB87" s="174"/>
      <c r="AC87" s="35">
        <v>24</v>
      </c>
      <c r="AD87" s="174"/>
      <c r="AE87" s="64"/>
      <c r="AF87" s="64"/>
      <c r="AG87" s="35">
        <v>24</v>
      </c>
      <c r="AH87" s="174"/>
      <c r="AI87" s="174"/>
      <c r="AJ87" s="178"/>
      <c r="AK87" s="134">
        <f t="shared" ref="AK87:AK90" si="33">SUM(F87:AJ87)</f>
        <v>168</v>
      </c>
      <c r="AL87" s="133">
        <f t="shared" ref="AL87:AL90" si="34">SUM(AK87/24)</f>
        <v>7</v>
      </c>
      <c r="AM87" s="248">
        <v>50000</v>
      </c>
      <c r="AN87" s="16"/>
    </row>
    <row r="88" spans="1:41" ht="35.1" customHeight="1" x14ac:dyDescent="0.25">
      <c r="A88" s="69">
        <v>50</v>
      </c>
      <c r="B88" s="166" t="s">
        <v>119</v>
      </c>
      <c r="C88" s="167" t="s">
        <v>137</v>
      </c>
      <c r="D88" s="168" t="s">
        <v>118</v>
      </c>
      <c r="E88" s="169" t="s">
        <v>62</v>
      </c>
      <c r="F88" s="173"/>
      <c r="G88" s="174"/>
      <c r="H88" s="174"/>
      <c r="I88" s="106" t="s">
        <v>146</v>
      </c>
      <c r="J88" s="106" t="s">
        <v>146</v>
      </c>
      <c r="K88" s="106" t="s">
        <v>146</v>
      </c>
      <c r="L88" s="106" t="s">
        <v>146</v>
      </c>
      <c r="M88" s="106" t="s">
        <v>146</v>
      </c>
      <c r="N88" s="106" t="s">
        <v>146</v>
      </c>
      <c r="O88" s="106" t="s">
        <v>146</v>
      </c>
      <c r="P88" s="106" t="s">
        <v>146</v>
      </c>
      <c r="Q88" s="106" t="s">
        <v>146</v>
      </c>
      <c r="R88" s="106" t="s">
        <v>146</v>
      </c>
      <c r="S88" s="106" t="s">
        <v>146</v>
      </c>
      <c r="T88" s="106" t="s">
        <v>146</v>
      </c>
      <c r="U88" s="106" t="s">
        <v>146</v>
      </c>
      <c r="V88" s="106" t="s">
        <v>146</v>
      </c>
      <c r="W88" s="174"/>
      <c r="X88" s="64"/>
      <c r="Y88" s="35">
        <v>24</v>
      </c>
      <c r="Z88" s="174"/>
      <c r="AA88" s="174"/>
      <c r="AB88" s="174"/>
      <c r="AC88" s="35">
        <v>24</v>
      </c>
      <c r="AD88" s="174"/>
      <c r="AE88" s="64"/>
      <c r="AF88" s="64"/>
      <c r="AG88" s="35">
        <v>24</v>
      </c>
      <c r="AH88" s="174"/>
      <c r="AI88" s="174"/>
      <c r="AJ88" s="178"/>
      <c r="AK88" s="134">
        <f t="shared" si="33"/>
        <v>72</v>
      </c>
      <c r="AL88" s="133">
        <f t="shared" si="34"/>
        <v>3</v>
      </c>
      <c r="AM88" s="248">
        <f t="shared" ref="AM88:AM89" si="35">AL88*7142.85</f>
        <v>21428.550000000003</v>
      </c>
      <c r="AN88" s="16"/>
      <c r="AO88" s="1"/>
    </row>
    <row r="89" spans="1:41" ht="35.1" customHeight="1" x14ac:dyDescent="0.25">
      <c r="A89" s="69">
        <v>51</v>
      </c>
      <c r="B89" s="166" t="s">
        <v>77</v>
      </c>
      <c r="C89" s="170" t="s">
        <v>136</v>
      </c>
      <c r="D89" s="168" t="s">
        <v>78</v>
      </c>
      <c r="E89" s="169" t="s">
        <v>62</v>
      </c>
      <c r="F89" s="197" t="s">
        <v>146</v>
      </c>
      <c r="G89" s="106" t="s">
        <v>146</v>
      </c>
      <c r="H89" s="106" t="s">
        <v>146</v>
      </c>
      <c r="I89" s="106" t="s">
        <v>146</v>
      </c>
      <c r="J89" s="106" t="s">
        <v>146</v>
      </c>
      <c r="K89" s="106" t="s">
        <v>146</v>
      </c>
      <c r="L89" s="106" t="s">
        <v>146</v>
      </c>
      <c r="M89" s="106" t="s">
        <v>146</v>
      </c>
      <c r="N89" s="106" t="s">
        <v>146</v>
      </c>
      <c r="O89" s="106" t="s">
        <v>146</v>
      </c>
      <c r="P89" s="106" t="s">
        <v>146</v>
      </c>
      <c r="Q89" s="106" t="s">
        <v>146</v>
      </c>
      <c r="R89" s="64"/>
      <c r="S89" s="174"/>
      <c r="T89" s="174"/>
      <c r="U89" s="27">
        <v>24</v>
      </c>
      <c r="V89" s="174"/>
      <c r="W89" s="174"/>
      <c r="X89" s="64"/>
      <c r="Y89" s="35">
        <v>24</v>
      </c>
      <c r="Z89" s="174"/>
      <c r="AA89" s="174"/>
      <c r="AB89" s="174"/>
      <c r="AC89" s="35">
        <v>24</v>
      </c>
      <c r="AD89" s="174"/>
      <c r="AE89" s="64"/>
      <c r="AF89" s="64"/>
      <c r="AG89" s="35">
        <v>24</v>
      </c>
      <c r="AH89" s="174"/>
      <c r="AI89" s="174"/>
      <c r="AJ89" s="178"/>
      <c r="AK89" s="134">
        <f t="shared" si="33"/>
        <v>96</v>
      </c>
      <c r="AL89" s="133">
        <f t="shared" si="34"/>
        <v>4</v>
      </c>
      <c r="AM89" s="248">
        <f t="shared" si="35"/>
        <v>28571.4</v>
      </c>
      <c r="AN89" s="16"/>
    </row>
    <row r="90" spans="1:41" ht="35.1" customHeight="1" thickBot="1" x14ac:dyDescent="0.3">
      <c r="A90" s="69">
        <v>52</v>
      </c>
      <c r="B90" s="166" t="s">
        <v>122</v>
      </c>
      <c r="C90" s="170" t="s">
        <v>135</v>
      </c>
      <c r="D90" s="168" t="s">
        <v>123</v>
      </c>
      <c r="E90" s="169" t="s">
        <v>62</v>
      </c>
      <c r="F90" s="175"/>
      <c r="G90" s="176"/>
      <c r="H90" s="176"/>
      <c r="I90" s="34">
        <v>24</v>
      </c>
      <c r="J90" s="65"/>
      <c r="K90" s="65"/>
      <c r="L90" s="176"/>
      <c r="M90" s="34">
        <v>24</v>
      </c>
      <c r="N90" s="176"/>
      <c r="O90" s="176"/>
      <c r="P90" s="176"/>
      <c r="Q90" s="34">
        <v>24</v>
      </c>
      <c r="R90" s="65"/>
      <c r="S90" s="176"/>
      <c r="T90" s="176"/>
      <c r="U90" s="34">
        <v>24</v>
      </c>
      <c r="V90" s="176"/>
      <c r="W90" s="176"/>
      <c r="X90" s="65"/>
      <c r="Y90" s="35">
        <v>24</v>
      </c>
      <c r="Z90" s="176"/>
      <c r="AA90" s="176"/>
      <c r="AB90" s="176"/>
      <c r="AC90" s="35">
        <v>24</v>
      </c>
      <c r="AD90" s="176"/>
      <c r="AE90" s="65"/>
      <c r="AF90" s="65"/>
      <c r="AG90" s="35">
        <v>24</v>
      </c>
      <c r="AH90" s="176"/>
      <c r="AI90" s="176"/>
      <c r="AJ90" s="179"/>
      <c r="AK90" s="137">
        <f t="shared" si="33"/>
        <v>168</v>
      </c>
      <c r="AL90" s="218">
        <f t="shared" si="34"/>
        <v>7</v>
      </c>
      <c r="AM90" s="248">
        <v>50000</v>
      </c>
      <c r="AN90" s="15" t="s">
        <v>124</v>
      </c>
    </row>
    <row r="91" spans="1:41" ht="22.5" customHeight="1" thickBot="1" x14ac:dyDescent="0.3">
      <c r="A91" s="387" t="s">
        <v>24</v>
      </c>
      <c r="B91" s="388"/>
      <c r="C91" s="388"/>
      <c r="D91" s="388"/>
      <c r="E91" s="388"/>
      <c r="F91" s="85">
        <f>COUNT(F86:F90)</f>
        <v>0</v>
      </c>
      <c r="G91" s="66">
        <f t="shared" ref="G91:AJ91" si="36">COUNT(G86:G90)</f>
        <v>0</v>
      </c>
      <c r="H91" s="66">
        <f t="shared" si="36"/>
        <v>0</v>
      </c>
      <c r="I91" s="66">
        <f t="shared" si="36"/>
        <v>3</v>
      </c>
      <c r="J91" s="66">
        <f t="shared" si="36"/>
        <v>0</v>
      </c>
      <c r="K91" s="66">
        <f t="shared" si="36"/>
        <v>0</v>
      </c>
      <c r="L91" s="66">
        <f t="shared" si="36"/>
        <v>1</v>
      </c>
      <c r="M91" s="66">
        <f t="shared" si="36"/>
        <v>2</v>
      </c>
      <c r="N91" s="66">
        <f t="shared" si="36"/>
        <v>0</v>
      </c>
      <c r="O91" s="66">
        <f t="shared" si="36"/>
        <v>0</v>
      </c>
      <c r="P91" s="66">
        <f t="shared" si="36"/>
        <v>0</v>
      </c>
      <c r="Q91" s="66">
        <f t="shared" si="36"/>
        <v>3</v>
      </c>
      <c r="R91" s="66">
        <f t="shared" si="36"/>
        <v>0</v>
      </c>
      <c r="S91" s="66">
        <f t="shared" si="36"/>
        <v>0</v>
      </c>
      <c r="T91" s="66">
        <f t="shared" si="36"/>
        <v>0</v>
      </c>
      <c r="U91" s="66">
        <f t="shared" si="36"/>
        <v>4</v>
      </c>
      <c r="V91" s="66">
        <f t="shared" si="36"/>
        <v>0</v>
      </c>
      <c r="W91" s="66">
        <f t="shared" si="36"/>
        <v>0</v>
      </c>
      <c r="X91" s="66">
        <f t="shared" si="36"/>
        <v>0</v>
      </c>
      <c r="Y91" s="66">
        <f t="shared" si="36"/>
        <v>5</v>
      </c>
      <c r="Z91" s="66">
        <f t="shared" si="36"/>
        <v>0</v>
      </c>
      <c r="AA91" s="66">
        <f t="shared" si="36"/>
        <v>0</v>
      </c>
      <c r="AB91" s="66">
        <f t="shared" si="36"/>
        <v>0</v>
      </c>
      <c r="AC91" s="66">
        <f t="shared" si="36"/>
        <v>5</v>
      </c>
      <c r="AD91" s="66">
        <f t="shared" si="36"/>
        <v>0</v>
      </c>
      <c r="AE91" s="66">
        <f t="shared" si="36"/>
        <v>0</v>
      </c>
      <c r="AF91" s="66">
        <f t="shared" si="36"/>
        <v>0</v>
      </c>
      <c r="AG91" s="66">
        <f t="shared" si="36"/>
        <v>5</v>
      </c>
      <c r="AH91" s="66">
        <f t="shared" si="36"/>
        <v>0</v>
      </c>
      <c r="AI91" s="66">
        <f t="shared" si="36"/>
        <v>0</v>
      </c>
      <c r="AJ91" s="87">
        <f t="shared" si="36"/>
        <v>0</v>
      </c>
      <c r="AK91" s="107">
        <f>SUM(AK86:AK90)</f>
        <v>672</v>
      </c>
      <c r="AL91" s="67">
        <f>SUM(AL86:AL90)</f>
        <v>28</v>
      </c>
      <c r="AM91" s="244">
        <f>AM86+AM87+AM88+AM89+AM90</f>
        <v>214999.94999999998</v>
      </c>
      <c r="AN91" s="16"/>
    </row>
    <row r="92" spans="1:41" ht="29.25" customHeight="1" thickBot="1" x14ac:dyDescent="0.3">
      <c r="A92" s="389" t="s">
        <v>24</v>
      </c>
      <c r="B92" s="390"/>
      <c r="C92" s="390"/>
      <c r="D92" s="390"/>
      <c r="E92" s="390"/>
      <c r="F92" s="192">
        <f>SUM(F91,F85,F79,F72,F64,F61,F51,F38,F28,F9)</f>
        <v>36</v>
      </c>
      <c r="G92" s="190">
        <v>30</v>
      </c>
      <c r="H92" s="190">
        <f t="shared" ref="H92:AJ92" si="37">COUNTA(H7:H91)</f>
        <v>37</v>
      </c>
      <c r="I92" s="190">
        <f t="shared" si="37"/>
        <v>43</v>
      </c>
      <c r="J92" s="190">
        <f t="shared" si="37"/>
        <v>29</v>
      </c>
      <c r="K92" s="190">
        <f t="shared" si="37"/>
        <v>21</v>
      </c>
      <c r="L92" s="190">
        <f t="shared" si="37"/>
        <v>40</v>
      </c>
      <c r="M92" s="190">
        <f t="shared" si="37"/>
        <v>45</v>
      </c>
      <c r="N92" s="190">
        <f t="shared" si="37"/>
        <v>44</v>
      </c>
      <c r="O92" s="190">
        <f t="shared" si="37"/>
        <v>40</v>
      </c>
      <c r="P92" s="190">
        <f t="shared" si="37"/>
        <v>40</v>
      </c>
      <c r="Q92" s="190">
        <f t="shared" si="37"/>
        <v>30</v>
      </c>
      <c r="R92" s="190">
        <f t="shared" si="37"/>
        <v>30</v>
      </c>
      <c r="S92" s="190">
        <f t="shared" si="37"/>
        <v>39</v>
      </c>
      <c r="T92" s="190">
        <f t="shared" si="37"/>
        <v>39</v>
      </c>
      <c r="U92" s="190">
        <f t="shared" si="37"/>
        <v>44</v>
      </c>
      <c r="V92" s="190">
        <f t="shared" si="37"/>
        <v>44</v>
      </c>
      <c r="W92" s="190">
        <f t="shared" si="37"/>
        <v>40</v>
      </c>
      <c r="X92" s="190">
        <f t="shared" si="37"/>
        <v>24</v>
      </c>
      <c r="Y92" s="190">
        <f t="shared" si="37"/>
        <v>27</v>
      </c>
      <c r="Z92" s="190">
        <f t="shared" si="37"/>
        <v>43</v>
      </c>
      <c r="AA92" s="190">
        <f t="shared" si="37"/>
        <v>40</v>
      </c>
      <c r="AB92" s="190">
        <f t="shared" si="37"/>
        <v>40</v>
      </c>
      <c r="AC92" s="190">
        <f t="shared" si="37"/>
        <v>43</v>
      </c>
      <c r="AD92" s="190">
        <f t="shared" si="37"/>
        <v>43</v>
      </c>
      <c r="AE92" s="190">
        <f t="shared" si="37"/>
        <v>26</v>
      </c>
      <c r="AF92" s="190">
        <f t="shared" si="37"/>
        <v>24</v>
      </c>
      <c r="AG92" s="190">
        <f t="shared" si="37"/>
        <v>44</v>
      </c>
      <c r="AH92" s="190">
        <f t="shared" si="37"/>
        <v>43</v>
      </c>
      <c r="AI92" s="190">
        <f t="shared" si="37"/>
        <v>39</v>
      </c>
      <c r="AJ92" s="191">
        <f t="shared" si="37"/>
        <v>40</v>
      </c>
      <c r="AK92" s="186">
        <f>SUM(AK91,AK85,AK79,AK72,AK64,AK61,AK51,AK38,AK28,AK9)</f>
        <v>8521</v>
      </c>
      <c r="AL92" s="191">
        <f>SUM(AL9,AL28,AL38,AL51,AL61,AL64,AL72,AL79,AL85,AL91)</f>
        <v>713.625</v>
      </c>
      <c r="AM92" s="282">
        <f>AN92-AM72-AM79-AM85-AM91</f>
        <v>115312.55000000002</v>
      </c>
      <c r="AN92" s="16">
        <v>1060000</v>
      </c>
    </row>
    <row r="93" spans="1:4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16"/>
    </row>
    <row r="94" spans="1:41" ht="27.75" customHeight="1" x14ac:dyDescent="0.25">
      <c r="A94" s="196" t="s">
        <v>189</v>
      </c>
      <c r="B94" s="195" t="s">
        <v>188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229"/>
      <c r="AN94" s="205"/>
    </row>
    <row r="95" spans="1:41" ht="26.25" customHeight="1" x14ac:dyDescent="0.25">
      <c r="A95" s="194">
        <v>8</v>
      </c>
      <c r="B95" s="193" t="s">
        <v>171</v>
      </c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229"/>
      <c r="AN95" s="16"/>
    </row>
    <row r="96" spans="1:41" ht="23.25" customHeight="1" x14ac:dyDescent="0.25">
      <c r="A96" s="9" t="s">
        <v>172</v>
      </c>
      <c r="B96" s="193" t="s">
        <v>173</v>
      </c>
    </row>
    <row r="97" spans="1:40" ht="25.5" customHeight="1" x14ac:dyDescent="0.25">
      <c r="A97" s="8" t="s">
        <v>170</v>
      </c>
      <c r="B97" s="193" t="s">
        <v>174</v>
      </c>
    </row>
    <row r="98" spans="1:40" ht="28.5" customHeight="1" x14ac:dyDescent="0.25">
      <c r="A98" s="10" t="s">
        <v>175</v>
      </c>
      <c r="B98" s="193" t="s">
        <v>176</v>
      </c>
    </row>
    <row r="99" spans="1:40" ht="27.75" customHeight="1" x14ac:dyDescent="0.25">
      <c r="A99" s="286" t="s">
        <v>177</v>
      </c>
      <c r="B99" s="193" t="s">
        <v>178</v>
      </c>
    </row>
    <row r="100" spans="1:40" ht="27.75" customHeight="1" x14ac:dyDescent="0.25">
      <c r="A100" s="12"/>
      <c r="B100" s="193" t="s">
        <v>179</v>
      </c>
    </row>
    <row r="101" spans="1:40" ht="27.75" customHeight="1" x14ac:dyDescent="0.25">
      <c r="A101" s="13"/>
      <c r="B101" s="193" t="s">
        <v>180</v>
      </c>
    </row>
    <row r="102" spans="1:40" ht="27" customHeight="1" x14ac:dyDescent="0.25">
      <c r="A102" s="14" t="s">
        <v>181</v>
      </c>
      <c r="B102" s="193" t="s">
        <v>182</v>
      </c>
    </row>
    <row r="110" spans="1:40" ht="18" customHeight="1" x14ac:dyDescent="0.25">
      <c r="A110" s="3"/>
      <c r="B110" s="29" t="s">
        <v>79</v>
      </c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44" t="s">
        <v>80</v>
      </c>
      <c r="R110" s="344"/>
      <c r="S110" s="344"/>
      <c r="T110" s="344"/>
      <c r="U110" s="344"/>
      <c r="V110" s="344"/>
      <c r="W110" s="344"/>
      <c r="X110" s="344"/>
      <c r="Y110" s="344"/>
      <c r="Z110" s="344"/>
      <c r="AA110" s="344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16"/>
    </row>
    <row r="111" spans="1:40" ht="32.450000000000003" customHeight="1" x14ac:dyDescent="0.25">
      <c r="A111" s="4">
        <v>1</v>
      </c>
      <c r="B111" s="7" t="s">
        <v>81</v>
      </c>
      <c r="C111" s="3" t="s">
        <v>82</v>
      </c>
      <c r="D111" s="37" t="s">
        <v>83</v>
      </c>
      <c r="E111" s="344" t="s">
        <v>84</v>
      </c>
      <c r="F111" s="344"/>
      <c r="G111" s="344"/>
      <c r="H111" s="344"/>
      <c r="I111" s="344"/>
      <c r="J111" s="344"/>
      <c r="K111" s="344"/>
      <c r="L111" s="344"/>
      <c r="M111" s="345" t="s">
        <v>85</v>
      </c>
      <c r="N111" s="345"/>
      <c r="O111" s="345"/>
      <c r="P111" s="345"/>
      <c r="Q111" s="348" t="s">
        <v>106</v>
      </c>
      <c r="R111" s="349"/>
      <c r="S111" s="349"/>
      <c r="T111" s="349"/>
      <c r="U111" s="349"/>
      <c r="V111" s="349"/>
      <c r="W111" s="349"/>
      <c r="X111" s="349"/>
      <c r="Y111" s="349"/>
      <c r="Z111" s="349"/>
      <c r="AA111" s="350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16"/>
    </row>
    <row r="112" spans="1:40" ht="35.450000000000003" customHeight="1" x14ac:dyDescent="0.25">
      <c r="A112" s="4">
        <v>2</v>
      </c>
      <c r="B112" s="7" t="s">
        <v>81</v>
      </c>
      <c r="C112" s="3" t="s">
        <v>82</v>
      </c>
      <c r="D112" s="37" t="s">
        <v>86</v>
      </c>
      <c r="E112" s="344" t="s">
        <v>87</v>
      </c>
      <c r="F112" s="344"/>
      <c r="G112" s="344"/>
      <c r="H112" s="344"/>
      <c r="I112" s="344"/>
      <c r="J112" s="344"/>
      <c r="K112" s="344"/>
      <c r="L112" s="344"/>
      <c r="M112" s="345" t="s">
        <v>85</v>
      </c>
      <c r="N112" s="345"/>
      <c r="O112" s="345"/>
      <c r="P112" s="345"/>
      <c r="Q112" s="348" t="s">
        <v>98</v>
      </c>
      <c r="R112" s="349"/>
      <c r="S112" s="349"/>
      <c r="T112" s="349"/>
      <c r="U112" s="349"/>
      <c r="V112" s="349"/>
      <c r="W112" s="349"/>
      <c r="X112" s="349"/>
      <c r="Y112" s="349"/>
      <c r="Z112" s="349"/>
      <c r="AA112" s="350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16"/>
    </row>
    <row r="113" spans="1:40" x14ac:dyDescent="0.25">
      <c r="A113" s="4">
        <v>3</v>
      </c>
      <c r="B113" s="7" t="s">
        <v>0</v>
      </c>
      <c r="C113" s="3" t="s">
        <v>82</v>
      </c>
      <c r="D113" s="37" t="s">
        <v>88</v>
      </c>
      <c r="E113" s="344"/>
      <c r="F113" s="344"/>
      <c r="G113" s="344"/>
      <c r="H113" s="344"/>
      <c r="I113" s="344"/>
      <c r="J113" s="344"/>
      <c r="K113" s="344"/>
      <c r="L113" s="344"/>
      <c r="M113" s="345" t="s">
        <v>89</v>
      </c>
      <c r="N113" s="345"/>
      <c r="O113" s="345"/>
      <c r="P113" s="345"/>
      <c r="Q113" s="346" t="s">
        <v>90</v>
      </c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16"/>
    </row>
    <row r="114" spans="1:40" ht="24" customHeight="1" x14ac:dyDescent="0.25">
      <c r="A114" s="4">
        <v>4</v>
      </c>
      <c r="B114" s="7" t="s">
        <v>104</v>
      </c>
      <c r="C114" s="3" t="s">
        <v>82</v>
      </c>
      <c r="D114" s="37" t="s">
        <v>91</v>
      </c>
      <c r="E114" s="344"/>
      <c r="F114" s="344"/>
      <c r="G114" s="344"/>
      <c r="H114" s="344"/>
      <c r="I114" s="344"/>
      <c r="J114" s="344"/>
      <c r="K114" s="344"/>
      <c r="L114" s="344"/>
      <c r="M114" s="345" t="s">
        <v>89</v>
      </c>
      <c r="N114" s="345"/>
      <c r="O114" s="345"/>
      <c r="P114" s="345"/>
      <c r="Q114" s="346"/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16"/>
    </row>
    <row r="115" spans="1:40" ht="24" customHeight="1" x14ac:dyDescent="0.25">
      <c r="A115" s="4">
        <v>5</v>
      </c>
      <c r="B115" s="7" t="s">
        <v>53</v>
      </c>
      <c r="C115" s="3" t="s">
        <v>82</v>
      </c>
      <c r="D115" s="37" t="s">
        <v>92</v>
      </c>
      <c r="E115" s="344" t="s">
        <v>112</v>
      </c>
      <c r="F115" s="344"/>
      <c r="G115" s="344"/>
      <c r="H115" s="344"/>
      <c r="I115" s="344"/>
      <c r="J115" s="344"/>
      <c r="K115" s="344"/>
      <c r="L115" s="344"/>
      <c r="M115" s="345" t="s">
        <v>89</v>
      </c>
      <c r="N115" s="345"/>
      <c r="O115" s="345"/>
      <c r="P115" s="345"/>
      <c r="Q115" s="346" t="s">
        <v>93</v>
      </c>
      <c r="R115" s="346"/>
      <c r="S115" s="346"/>
      <c r="T115" s="346"/>
      <c r="U115" s="346"/>
      <c r="V115" s="346"/>
      <c r="W115" s="346"/>
      <c r="X115" s="346"/>
      <c r="Y115" s="346"/>
      <c r="Z115" s="346"/>
      <c r="AA115" s="34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16"/>
    </row>
    <row r="116" spans="1:40" x14ac:dyDescent="0.25">
      <c r="A116" s="4">
        <v>6</v>
      </c>
      <c r="B116" s="7" t="s">
        <v>57</v>
      </c>
      <c r="C116" s="3" t="s">
        <v>82</v>
      </c>
      <c r="D116" s="37" t="s">
        <v>94</v>
      </c>
      <c r="E116" s="344"/>
      <c r="F116" s="344"/>
      <c r="G116" s="344"/>
      <c r="H116" s="344"/>
      <c r="I116" s="344"/>
      <c r="J116" s="344"/>
      <c r="K116" s="344"/>
      <c r="L116" s="344"/>
      <c r="M116" s="345" t="s">
        <v>89</v>
      </c>
      <c r="N116" s="345"/>
      <c r="O116" s="345"/>
      <c r="P116" s="345"/>
      <c r="Q116" s="346" t="s">
        <v>95</v>
      </c>
      <c r="R116" s="346"/>
      <c r="S116" s="346"/>
      <c r="T116" s="346"/>
      <c r="U116" s="346"/>
      <c r="V116" s="346"/>
      <c r="W116" s="346"/>
      <c r="X116" s="346"/>
      <c r="Y116" s="346"/>
      <c r="Z116" s="346"/>
      <c r="AA116" s="34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16"/>
    </row>
    <row r="117" spans="1:40" x14ac:dyDescent="0.25">
      <c r="A117" s="4">
        <v>7</v>
      </c>
      <c r="B117" s="7" t="s">
        <v>37</v>
      </c>
      <c r="C117" s="3" t="s">
        <v>82</v>
      </c>
      <c r="D117" s="37" t="s">
        <v>96</v>
      </c>
      <c r="E117" s="344"/>
      <c r="F117" s="344"/>
      <c r="G117" s="344"/>
      <c r="H117" s="344"/>
      <c r="I117" s="344"/>
      <c r="J117" s="344"/>
      <c r="K117" s="344"/>
      <c r="L117" s="344"/>
      <c r="M117" s="345" t="s">
        <v>89</v>
      </c>
      <c r="N117" s="345"/>
      <c r="O117" s="345"/>
      <c r="P117" s="345"/>
      <c r="Q117" s="347"/>
      <c r="R117" s="347"/>
      <c r="S117" s="347"/>
      <c r="T117" s="347"/>
      <c r="U117" s="347"/>
      <c r="V117" s="347"/>
      <c r="W117" s="347"/>
      <c r="X117" s="347"/>
      <c r="Y117" s="347"/>
      <c r="Z117" s="347"/>
      <c r="AA117" s="347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16"/>
    </row>
    <row r="118" spans="1:40" x14ac:dyDescent="0.25">
      <c r="A118" s="4">
        <v>8</v>
      </c>
      <c r="B118" s="7" t="s">
        <v>108</v>
      </c>
      <c r="C118" s="3" t="s">
        <v>82</v>
      </c>
      <c r="D118" s="37" t="s">
        <v>109</v>
      </c>
      <c r="E118" s="352"/>
      <c r="F118" s="353"/>
      <c r="G118" s="353"/>
      <c r="H118" s="353"/>
      <c r="I118" s="353"/>
      <c r="J118" s="353"/>
      <c r="K118" s="353"/>
      <c r="L118" s="354"/>
      <c r="M118" s="345" t="s">
        <v>89</v>
      </c>
      <c r="N118" s="345"/>
      <c r="O118" s="345"/>
      <c r="P118" s="345"/>
      <c r="Q118" s="355"/>
      <c r="R118" s="356"/>
      <c r="S118" s="356"/>
      <c r="T118" s="356"/>
      <c r="U118" s="356"/>
      <c r="V118" s="356"/>
      <c r="W118" s="356"/>
      <c r="X118" s="356"/>
      <c r="Y118" s="356"/>
      <c r="Z118" s="356"/>
      <c r="AA118" s="357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16"/>
    </row>
    <row r="119" spans="1:40" x14ac:dyDescent="0.25">
      <c r="A119" s="4">
        <v>9</v>
      </c>
      <c r="B119" s="7" t="s">
        <v>110</v>
      </c>
      <c r="C119" s="3" t="s">
        <v>82</v>
      </c>
      <c r="D119" s="37" t="s">
        <v>111</v>
      </c>
      <c r="E119" s="352"/>
      <c r="F119" s="353"/>
      <c r="G119" s="353"/>
      <c r="H119" s="353"/>
      <c r="I119" s="353"/>
      <c r="J119" s="353"/>
      <c r="K119" s="353"/>
      <c r="L119" s="354"/>
      <c r="M119" s="345" t="s">
        <v>89</v>
      </c>
      <c r="N119" s="345"/>
      <c r="O119" s="345"/>
      <c r="P119" s="345"/>
      <c r="Q119" s="355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7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16"/>
    </row>
    <row r="120" spans="1:40" x14ac:dyDescent="0.25">
      <c r="A120" s="4">
        <v>10</v>
      </c>
      <c r="B120" s="7" t="s">
        <v>84</v>
      </c>
      <c r="C120" s="3" t="s">
        <v>82</v>
      </c>
      <c r="D120" s="38" t="s">
        <v>97</v>
      </c>
      <c r="E120" s="344" t="s">
        <v>87</v>
      </c>
      <c r="F120" s="344"/>
      <c r="G120" s="344"/>
      <c r="H120" s="344"/>
      <c r="I120" s="344"/>
      <c r="J120" s="344"/>
      <c r="K120" s="344"/>
      <c r="L120" s="344"/>
      <c r="M120" s="345" t="s">
        <v>89</v>
      </c>
      <c r="N120" s="345"/>
      <c r="O120" s="345"/>
      <c r="P120" s="345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347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16"/>
    </row>
  </sheetData>
  <mergeCells count="59">
    <mergeCell ref="A91:E91"/>
    <mergeCell ref="A92:E92"/>
    <mergeCell ref="A65:AM65"/>
    <mergeCell ref="A62:AM62"/>
    <mergeCell ref="A72:E72"/>
    <mergeCell ref="A79:E79"/>
    <mergeCell ref="A85:E85"/>
    <mergeCell ref="A39:AM39"/>
    <mergeCell ref="A51:E51"/>
    <mergeCell ref="A61:E61"/>
    <mergeCell ref="A64:E64"/>
    <mergeCell ref="A52:AM52"/>
    <mergeCell ref="AK4:AL4"/>
    <mergeCell ref="A38:E38"/>
    <mergeCell ref="A10:AL10"/>
    <mergeCell ref="A9:E9"/>
    <mergeCell ref="A6:AL6"/>
    <mergeCell ref="A28:E28"/>
    <mergeCell ref="B4:B5"/>
    <mergeCell ref="A4:A5"/>
    <mergeCell ref="A29:AM29"/>
    <mergeCell ref="C1:F1"/>
    <mergeCell ref="C2:F2"/>
    <mergeCell ref="C3:F3"/>
    <mergeCell ref="D4:D5"/>
    <mergeCell ref="C4:C5"/>
    <mergeCell ref="E4:E5"/>
    <mergeCell ref="E120:L120"/>
    <mergeCell ref="M120:P120"/>
    <mergeCell ref="Q120:AA120"/>
    <mergeCell ref="E118:L118"/>
    <mergeCell ref="M118:P118"/>
    <mergeCell ref="Q118:AA118"/>
    <mergeCell ref="E119:L119"/>
    <mergeCell ref="M119:P119"/>
    <mergeCell ref="Q119:AA119"/>
    <mergeCell ref="Q110:AA110"/>
    <mergeCell ref="C110:P110"/>
    <mergeCell ref="E111:L111"/>
    <mergeCell ref="M111:P111"/>
    <mergeCell ref="Q111:AA111"/>
    <mergeCell ref="E112:L112"/>
    <mergeCell ref="M112:P112"/>
    <mergeCell ref="Q112:AA112"/>
    <mergeCell ref="E113:L113"/>
    <mergeCell ref="M113:P113"/>
    <mergeCell ref="Q113:AA113"/>
    <mergeCell ref="E114:L114"/>
    <mergeCell ref="M114:P114"/>
    <mergeCell ref="Q114:AA114"/>
    <mergeCell ref="E117:L117"/>
    <mergeCell ref="M117:P117"/>
    <mergeCell ref="Q117:AA117"/>
    <mergeCell ref="E115:L115"/>
    <mergeCell ref="M115:P115"/>
    <mergeCell ref="Q115:AA115"/>
    <mergeCell ref="E116:L116"/>
    <mergeCell ref="M116:P116"/>
    <mergeCell ref="Q116:AA1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R118"/>
  <sheetViews>
    <sheetView zoomScale="59" zoomScaleNormal="59" workbookViewId="0">
      <pane ySplit="5" topLeftCell="A68" activePane="bottomLeft" state="frozen"/>
      <selection pane="bottomLeft" activeCell="AM82" sqref="AM82"/>
    </sheetView>
  </sheetViews>
  <sheetFormatPr defaultRowHeight="15" x14ac:dyDescent="0.25"/>
  <cols>
    <col min="1" max="1" width="12" bestFit="1" customWidth="1"/>
    <col min="2" max="2" width="39.5703125" customWidth="1"/>
    <col min="3" max="3" width="45.140625" customWidth="1"/>
    <col min="4" max="4" width="20.140625" customWidth="1"/>
    <col min="5" max="5" width="7" customWidth="1"/>
    <col min="6" max="6" width="4.85546875" customWidth="1"/>
    <col min="7" max="36" width="4.7109375" customWidth="1"/>
    <col min="37" max="37" width="8.28515625" customWidth="1"/>
    <col min="38" max="38" width="13.140625" customWidth="1"/>
    <col min="39" max="39" width="18.85546875" customWidth="1"/>
    <col min="40" max="40" width="34" customWidth="1"/>
    <col min="41" max="41" width="40.28515625" customWidth="1"/>
  </cols>
  <sheetData>
    <row r="1" spans="1:44" ht="36" customHeight="1" x14ac:dyDescent="0.25">
      <c r="B1" s="53" t="s">
        <v>154</v>
      </c>
      <c r="C1" s="358" t="s">
        <v>199</v>
      </c>
      <c r="D1" s="358"/>
      <c r="E1" s="358"/>
      <c r="F1" s="358"/>
    </row>
    <row r="2" spans="1:44" ht="36.75" customHeight="1" x14ac:dyDescent="0.25">
      <c r="B2" s="53" t="s">
        <v>156</v>
      </c>
      <c r="C2" s="359" t="s">
        <v>157</v>
      </c>
      <c r="D2" s="359"/>
      <c r="E2" s="359"/>
      <c r="F2" s="359"/>
    </row>
    <row r="3" spans="1:44" ht="37.5" customHeight="1" thickBot="1" x14ac:dyDescent="0.3">
      <c r="B3" s="53" t="s">
        <v>158</v>
      </c>
      <c r="C3" s="360" t="s">
        <v>159</v>
      </c>
      <c r="D3" s="360"/>
      <c r="E3" s="360"/>
      <c r="F3" s="360"/>
    </row>
    <row r="4" spans="1:44" ht="32.25" customHeight="1" thickBot="1" x14ac:dyDescent="0.3">
      <c r="A4" s="376" t="s">
        <v>153</v>
      </c>
      <c r="B4" s="361" t="s">
        <v>160</v>
      </c>
      <c r="C4" s="361" t="s">
        <v>183</v>
      </c>
      <c r="D4" s="361" t="s">
        <v>184</v>
      </c>
      <c r="E4" s="361" t="s">
        <v>185</v>
      </c>
      <c r="F4" s="234">
        <v>1</v>
      </c>
      <c r="G4" s="236">
        <v>2</v>
      </c>
      <c r="H4" s="236">
        <v>3</v>
      </c>
      <c r="I4" s="235">
        <v>4</v>
      </c>
      <c r="J4" s="235">
        <v>5</v>
      </c>
      <c r="K4" s="235">
        <v>6</v>
      </c>
      <c r="L4" s="235">
        <v>7</v>
      </c>
      <c r="M4" s="235">
        <v>8</v>
      </c>
      <c r="N4" s="236">
        <v>9</v>
      </c>
      <c r="O4" s="236">
        <v>10</v>
      </c>
      <c r="P4" s="235">
        <v>11</v>
      </c>
      <c r="Q4" s="235">
        <v>12</v>
      </c>
      <c r="R4" s="235">
        <v>13</v>
      </c>
      <c r="S4" s="235">
        <v>14</v>
      </c>
      <c r="T4" s="235">
        <v>15</v>
      </c>
      <c r="U4" s="236">
        <v>16</v>
      </c>
      <c r="V4" s="236">
        <v>17</v>
      </c>
      <c r="W4" s="235">
        <v>18</v>
      </c>
      <c r="X4" s="235">
        <v>19</v>
      </c>
      <c r="Y4" s="235">
        <v>20</v>
      </c>
      <c r="Z4" s="235">
        <v>21</v>
      </c>
      <c r="AA4" s="235">
        <v>22</v>
      </c>
      <c r="AB4" s="236">
        <v>23</v>
      </c>
      <c r="AC4" s="236">
        <v>24</v>
      </c>
      <c r="AD4" s="235">
        <v>25</v>
      </c>
      <c r="AE4" s="235">
        <v>26</v>
      </c>
      <c r="AF4" s="235">
        <v>27</v>
      </c>
      <c r="AG4" s="235">
        <v>28</v>
      </c>
      <c r="AH4" s="235">
        <v>29</v>
      </c>
      <c r="AI4" s="236">
        <v>30</v>
      </c>
      <c r="AJ4" s="237">
        <v>31</v>
      </c>
      <c r="AK4" s="363" t="s">
        <v>186</v>
      </c>
      <c r="AL4" s="364"/>
      <c r="AM4" s="202"/>
    </row>
    <row r="5" spans="1:44" ht="32.25" customHeight="1" thickBot="1" x14ac:dyDescent="0.3">
      <c r="A5" s="399"/>
      <c r="B5" s="400"/>
      <c r="C5" s="400"/>
      <c r="D5" s="400"/>
      <c r="E5" s="400"/>
      <c r="F5" s="242" t="s">
        <v>164</v>
      </c>
      <c r="G5" s="257" t="s">
        <v>165</v>
      </c>
      <c r="H5" s="257" t="s">
        <v>166</v>
      </c>
      <c r="I5" s="242" t="s">
        <v>167</v>
      </c>
      <c r="J5" s="242" t="s">
        <v>161</v>
      </c>
      <c r="K5" s="242" t="s">
        <v>162</v>
      </c>
      <c r="L5" s="242" t="s">
        <v>163</v>
      </c>
      <c r="M5" s="242" t="s">
        <v>164</v>
      </c>
      <c r="N5" s="257" t="s">
        <v>165</v>
      </c>
      <c r="O5" s="257" t="s">
        <v>166</v>
      </c>
      <c r="P5" s="242" t="s">
        <v>167</v>
      </c>
      <c r="Q5" s="242" t="s">
        <v>161</v>
      </c>
      <c r="R5" s="242" t="s">
        <v>162</v>
      </c>
      <c r="S5" s="242" t="s">
        <v>163</v>
      </c>
      <c r="T5" s="242" t="s">
        <v>164</v>
      </c>
      <c r="U5" s="257" t="s">
        <v>165</v>
      </c>
      <c r="V5" s="257" t="s">
        <v>166</v>
      </c>
      <c r="W5" s="242" t="s">
        <v>167</v>
      </c>
      <c r="X5" s="242" t="s">
        <v>161</v>
      </c>
      <c r="Y5" s="242" t="s">
        <v>162</v>
      </c>
      <c r="Z5" s="242" t="s">
        <v>163</v>
      </c>
      <c r="AA5" s="242" t="s">
        <v>164</v>
      </c>
      <c r="AB5" s="257" t="s">
        <v>165</v>
      </c>
      <c r="AC5" s="257" t="s">
        <v>166</v>
      </c>
      <c r="AD5" s="242" t="s">
        <v>167</v>
      </c>
      <c r="AE5" s="242" t="s">
        <v>161</v>
      </c>
      <c r="AF5" s="242" t="s">
        <v>162</v>
      </c>
      <c r="AG5" s="242" t="s">
        <v>163</v>
      </c>
      <c r="AH5" s="242" t="s">
        <v>164</v>
      </c>
      <c r="AI5" s="257" t="s">
        <v>165</v>
      </c>
      <c r="AJ5" s="257" t="s">
        <v>166</v>
      </c>
      <c r="AK5" s="76" t="s">
        <v>168</v>
      </c>
      <c r="AL5" s="77" t="s">
        <v>169</v>
      </c>
      <c r="AM5" s="203"/>
    </row>
    <row r="6" spans="1:44" ht="32.25" customHeight="1" thickBot="1" x14ac:dyDescent="0.3">
      <c r="A6" s="384" t="s">
        <v>197</v>
      </c>
      <c r="B6" s="385"/>
      <c r="C6" s="385"/>
      <c r="D6" s="385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85"/>
      <c r="AE6" s="385"/>
      <c r="AF6" s="385"/>
      <c r="AG6" s="385"/>
      <c r="AH6" s="385"/>
      <c r="AI6" s="385"/>
      <c r="AJ6" s="385"/>
      <c r="AK6" s="385"/>
      <c r="AL6" s="385"/>
      <c r="AM6" s="386"/>
    </row>
    <row r="7" spans="1:44" ht="35.1" customHeight="1" x14ac:dyDescent="0.25">
      <c r="A7" s="101">
        <v>1</v>
      </c>
      <c r="B7" s="70" t="s">
        <v>0</v>
      </c>
      <c r="C7" s="71" t="s">
        <v>101</v>
      </c>
      <c r="D7" s="71" t="s">
        <v>1</v>
      </c>
      <c r="E7" s="91" t="s">
        <v>2</v>
      </c>
      <c r="F7" s="88">
        <v>8</v>
      </c>
      <c r="G7" s="89"/>
      <c r="H7" s="89"/>
      <c r="I7" s="35">
        <v>8</v>
      </c>
      <c r="J7" s="35">
        <v>8</v>
      </c>
      <c r="K7" s="35">
        <v>8</v>
      </c>
      <c r="L7" s="35">
        <v>8</v>
      </c>
      <c r="M7" s="35">
        <v>8</v>
      </c>
      <c r="N7" s="89"/>
      <c r="O7" s="89"/>
      <c r="P7" s="301" t="s">
        <v>170</v>
      </c>
      <c r="Q7" s="301" t="s">
        <v>170</v>
      </c>
      <c r="R7" s="301" t="s">
        <v>170</v>
      </c>
      <c r="S7" s="301" t="s">
        <v>170</v>
      </c>
      <c r="T7" s="301" t="s">
        <v>170</v>
      </c>
      <c r="U7" s="89"/>
      <c r="V7" s="89"/>
      <c r="W7" s="35">
        <v>8</v>
      </c>
      <c r="X7" s="35">
        <v>8</v>
      </c>
      <c r="Y7" s="35">
        <v>8</v>
      </c>
      <c r="Z7" s="35">
        <v>8</v>
      </c>
      <c r="AA7" s="35">
        <v>8</v>
      </c>
      <c r="AB7" s="206">
        <v>8</v>
      </c>
      <c r="AC7" s="89"/>
      <c r="AD7" s="35">
        <v>8</v>
      </c>
      <c r="AE7" s="35">
        <v>8</v>
      </c>
      <c r="AF7" s="35">
        <v>8</v>
      </c>
      <c r="AG7" s="35">
        <v>8</v>
      </c>
      <c r="AH7" s="35">
        <v>8</v>
      </c>
      <c r="AI7" s="206">
        <v>8</v>
      </c>
      <c r="AJ7" s="206">
        <v>8</v>
      </c>
      <c r="AK7" s="105">
        <f>SUM(F7:AJ7)</f>
        <v>152</v>
      </c>
      <c r="AL7" s="215">
        <f t="shared" ref="AL7:AL30" si="0">AK7/8</f>
        <v>19</v>
      </c>
      <c r="AM7" s="222"/>
      <c r="AN7" s="15" t="s">
        <v>131</v>
      </c>
    </row>
    <row r="8" spans="1:44" ht="36.6" customHeight="1" thickBot="1" x14ac:dyDescent="0.3">
      <c r="A8" s="68">
        <v>2</v>
      </c>
      <c r="B8" s="98" t="s">
        <v>102</v>
      </c>
      <c r="C8" s="41" t="s">
        <v>103</v>
      </c>
      <c r="D8" s="99" t="s">
        <v>107</v>
      </c>
      <c r="E8" s="74" t="s">
        <v>2</v>
      </c>
      <c r="F8" s="100">
        <v>8</v>
      </c>
      <c r="G8" s="65"/>
      <c r="H8" s="65"/>
      <c r="I8" s="288" t="s">
        <v>172</v>
      </c>
      <c r="J8" s="34">
        <v>8</v>
      </c>
      <c r="K8" s="34">
        <v>8</v>
      </c>
      <c r="L8" s="34">
        <v>8</v>
      </c>
      <c r="M8" s="34">
        <v>8</v>
      </c>
      <c r="N8" s="65"/>
      <c r="O8" s="65"/>
      <c r="P8" s="34">
        <v>8</v>
      </c>
      <c r="Q8" s="34">
        <v>8</v>
      </c>
      <c r="R8" s="34">
        <v>8</v>
      </c>
      <c r="S8" s="34">
        <v>8</v>
      </c>
      <c r="T8" s="34">
        <v>8</v>
      </c>
      <c r="U8" s="65"/>
      <c r="V8" s="65"/>
      <c r="W8" s="34">
        <v>8</v>
      </c>
      <c r="X8" s="34">
        <v>8</v>
      </c>
      <c r="Y8" s="34">
        <v>8</v>
      </c>
      <c r="Z8" s="34">
        <v>8</v>
      </c>
      <c r="AA8" s="34">
        <v>8</v>
      </c>
      <c r="AB8" s="89"/>
      <c r="AC8" s="89"/>
      <c r="AD8" s="34">
        <v>8</v>
      </c>
      <c r="AE8" s="34">
        <v>8</v>
      </c>
      <c r="AF8" s="34">
        <v>8</v>
      </c>
      <c r="AG8" s="34">
        <v>8</v>
      </c>
      <c r="AH8" s="34">
        <v>8</v>
      </c>
      <c r="AI8" s="89"/>
      <c r="AJ8" s="206">
        <v>8</v>
      </c>
      <c r="AK8" s="76">
        <f t="shared" ref="AK8:AK27" si="1">SUM(F8:AJ8)</f>
        <v>168</v>
      </c>
      <c r="AL8" s="241">
        <f t="shared" si="0"/>
        <v>21</v>
      </c>
      <c r="AM8" s="258">
        <f>AK8*363.095238095</f>
        <v>60999.999999960004</v>
      </c>
      <c r="AN8" s="15" t="s">
        <v>131</v>
      </c>
      <c r="AR8" s="2"/>
    </row>
    <row r="9" spans="1:44" ht="24.75" customHeight="1" thickBot="1" x14ac:dyDescent="0.3">
      <c r="A9" s="371" t="s">
        <v>24</v>
      </c>
      <c r="B9" s="372"/>
      <c r="C9" s="372"/>
      <c r="D9" s="372"/>
      <c r="E9" s="373"/>
      <c r="F9" s="85">
        <f>COUNT(F7:F8)</f>
        <v>2</v>
      </c>
      <c r="G9" s="66">
        <f t="shared" ref="G9:AJ9" si="2">COUNT(G7:G8)</f>
        <v>0</v>
      </c>
      <c r="H9" s="66">
        <f t="shared" si="2"/>
        <v>0</v>
      </c>
      <c r="I9" s="66">
        <f t="shared" si="2"/>
        <v>1</v>
      </c>
      <c r="J9" s="66">
        <f t="shared" si="2"/>
        <v>2</v>
      </c>
      <c r="K9" s="66">
        <f t="shared" si="2"/>
        <v>2</v>
      </c>
      <c r="L9" s="66">
        <f t="shared" si="2"/>
        <v>2</v>
      </c>
      <c r="M9" s="66">
        <f t="shared" si="2"/>
        <v>2</v>
      </c>
      <c r="N9" s="66">
        <f t="shared" si="2"/>
        <v>0</v>
      </c>
      <c r="O9" s="66">
        <f t="shared" si="2"/>
        <v>0</v>
      </c>
      <c r="P9" s="66">
        <f t="shared" si="2"/>
        <v>1</v>
      </c>
      <c r="Q9" s="66">
        <f t="shared" si="2"/>
        <v>1</v>
      </c>
      <c r="R9" s="66">
        <f t="shared" si="2"/>
        <v>1</v>
      </c>
      <c r="S9" s="66">
        <f t="shared" si="2"/>
        <v>1</v>
      </c>
      <c r="T9" s="66">
        <f t="shared" si="2"/>
        <v>1</v>
      </c>
      <c r="U9" s="66">
        <f t="shared" si="2"/>
        <v>0</v>
      </c>
      <c r="V9" s="66">
        <f t="shared" si="2"/>
        <v>0</v>
      </c>
      <c r="W9" s="66">
        <f t="shared" si="2"/>
        <v>2</v>
      </c>
      <c r="X9" s="66">
        <f t="shared" si="2"/>
        <v>2</v>
      </c>
      <c r="Y9" s="66">
        <f t="shared" si="2"/>
        <v>2</v>
      </c>
      <c r="Z9" s="66">
        <f t="shared" si="2"/>
        <v>2</v>
      </c>
      <c r="AA9" s="66">
        <f t="shared" si="2"/>
        <v>2</v>
      </c>
      <c r="AB9" s="66">
        <f t="shared" si="2"/>
        <v>1</v>
      </c>
      <c r="AC9" s="66">
        <f t="shared" si="2"/>
        <v>0</v>
      </c>
      <c r="AD9" s="66">
        <f t="shared" si="2"/>
        <v>2</v>
      </c>
      <c r="AE9" s="66">
        <f t="shared" si="2"/>
        <v>2</v>
      </c>
      <c r="AF9" s="66">
        <f t="shared" si="2"/>
        <v>2</v>
      </c>
      <c r="AG9" s="66">
        <f t="shared" si="2"/>
        <v>2</v>
      </c>
      <c r="AH9" s="66">
        <f t="shared" si="2"/>
        <v>2</v>
      </c>
      <c r="AI9" s="66">
        <f t="shared" si="2"/>
        <v>1</v>
      </c>
      <c r="AJ9" s="87">
        <f t="shared" si="2"/>
        <v>2</v>
      </c>
      <c r="AK9" s="85">
        <f>SUM(AK7:AK8)</f>
        <v>320</v>
      </c>
      <c r="AL9" s="67">
        <f>SUM(AL7:AL8)</f>
        <v>40</v>
      </c>
      <c r="AM9" s="281">
        <f>AN9-AM8</f>
        <v>3.9995939005166292E-8</v>
      </c>
      <c r="AN9" s="310">
        <v>61000</v>
      </c>
    </row>
    <row r="10" spans="1:44" ht="35.1" customHeight="1" thickBot="1" x14ac:dyDescent="0.3">
      <c r="A10" s="384" t="s">
        <v>187</v>
      </c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85"/>
      <c r="AD10" s="385"/>
      <c r="AE10" s="385"/>
      <c r="AF10" s="385"/>
      <c r="AG10" s="385"/>
      <c r="AH10" s="385"/>
      <c r="AI10" s="385"/>
      <c r="AJ10" s="385"/>
      <c r="AK10" s="385"/>
      <c r="AL10" s="385"/>
      <c r="AM10" s="386"/>
      <c r="AN10" s="15"/>
    </row>
    <row r="11" spans="1:44" ht="35.1" customHeight="1" x14ac:dyDescent="0.25">
      <c r="A11" s="101">
        <v>3</v>
      </c>
      <c r="B11" s="70" t="s">
        <v>143</v>
      </c>
      <c r="C11" s="71" t="s">
        <v>130</v>
      </c>
      <c r="D11" s="102" t="s">
        <v>144</v>
      </c>
      <c r="E11" s="91" t="s">
        <v>2</v>
      </c>
      <c r="F11" s="88">
        <v>8</v>
      </c>
      <c r="G11" s="89"/>
      <c r="H11" s="89"/>
      <c r="I11" s="35">
        <v>8</v>
      </c>
      <c r="J11" s="35">
        <v>8</v>
      </c>
      <c r="K11" s="35">
        <v>8</v>
      </c>
      <c r="L11" s="35">
        <v>8</v>
      </c>
      <c r="M11" s="35">
        <v>8</v>
      </c>
      <c r="N11" s="89"/>
      <c r="O11" s="89"/>
      <c r="P11" s="35">
        <v>8</v>
      </c>
      <c r="Q11" s="35">
        <v>8</v>
      </c>
      <c r="R11" s="35">
        <v>8</v>
      </c>
      <c r="S11" s="35">
        <v>8</v>
      </c>
      <c r="T11" s="35">
        <v>8</v>
      </c>
      <c r="U11" s="89"/>
      <c r="V11" s="89"/>
      <c r="W11" s="35">
        <v>8</v>
      </c>
      <c r="X11" s="35">
        <v>8</v>
      </c>
      <c r="Y11" s="35">
        <v>8</v>
      </c>
      <c r="Z11" s="35">
        <v>8</v>
      </c>
      <c r="AA11" s="35">
        <v>8</v>
      </c>
      <c r="AB11" s="89"/>
      <c r="AC11" s="89"/>
      <c r="AD11" s="35">
        <v>8</v>
      </c>
      <c r="AE11" s="35">
        <v>8</v>
      </c>
      <c r="AF11" s="35">
        <v>8</v>
      </c>
      <c r="AG11" s="35">
        <v>8</v>
      </c>
      <c r="AH11" s="35">
        <v>8</v>
      </c>
      <c r="AI11" s="89"/>
      <c r="AJ11" s="89"/>
      <c r="AK11" s="83">
        <f>SUM(F11:AJ11)</f>
        <v>168</v>
      </c>
      <c r="AL11" s="215">
        <f>AK11/8</f>
        <v>21</v>
      </c>
      <c r="AM11" s="245">
        <f>AK11*544.047619047</f>
        <v>91399.999999895997</v>
      </c>
      <c r="AN11" s="15"/>
    </row>
    <row r="12" spans="1:44" ht="35.1" customHeight="1" x14ac:dyDescent="0.25">
      <c r="A12" s="101">
        <v>4</v>
      </c>
      <c r="B12" s="47" t="s">
        <v>10</v>
      </c>
      <c r="C12" s="40" t="s">
        <v>8</v>
      </c>
      <c r="D12" s="40" t="s">
        <v>11</v>
      </c>
      <c r="E12" s="73" t="s">
        <v>2</v>
      </c>
      <c r="F12" s="100">
        <v>8</v>
      </c>
      <c r="G12" s="65"/>
      <c r="H12" s="65"/>
      <c r="I12" s="34">
        <v>8</v>
      </c>
      <c r="J12" s="34">
        <v>8</v>
      </c>
      <c r="K12" s="34">
        <v>8</v>
      </c>
      <c r="L12" s="34">
        <v>8</v>
      </c>
      <c r="M12" s="34">
        <v>8</v>
      </c>
      <c r="N12" s="65"/>
      <c r="O12" s="65"/>
      <c r="P12" s="34">
        <v>8</v>
      </c>
      <c r="Q12" s="34">
        <v>8</v>
      </c>
      <c r="R12" s="34">
        <v>8</v>
      </c>
      <c r="S12" s="34">
        <v>8</v>
      </c>
      <c r="T12" s="34">
        <v>8</v>
      </c>
      <c r="U12" s="65"/>
      <c r="V12" s="65"/>
      <c r="W12" s="34">
        <v>8</v>
      </c>
      <c r="X12" s="34">
        <v>8</v>
      </c>
      <c r="Y12" s="34">
        <v>8</v>
      </c>
      <c r="Z12" s="34">
        <v>8</v>
      </c>
      <c r="AA12" s="34">
        <v>8</v>
      </c>
      <c r="AB12" s="65"/>
      <c r="AC12" s="65"/>
      <c r="AD12" s="34">
        <v>8</v>
      </c>
      <c r="AE12" s="34">
        <v>8</v>
      </c>
      <c r="AF12" s="34">
        <v>8</v>
      </c>
      <c r="AG12" s="34">
        <v>8</v>
      </c>
      <c r="AH12" s="34">
        <v>8</v>
      </c>
      <c r="AI12" s="65"/>
      <c r="AJ12" s="65"/>
      <c r="AK12" s="82">
        <f>SUM(F12:AJ12)</f>
        <v>168</v>
      </c>
      <c r="AL12" s="214">
        <f>AK12/8</f>
        <v>21</v>
      </c>
      <c r="AM12" s="243">
        <f>AK12*357.142857142</f>
        <v>59999.999999856002</v>
      </c>
      <c r="AN12" s="15"/>
    </row>
    <row r="13" spans="1:44" ht="35.1" customHeight="1" x14ac:dyDescent="0.25">
      <c r="A13" s="101">
        <v>5</v>
      </c>
      <c r="B13" s="6" t="s">
        <v>3</v>
      </c>
      <c r="C13" s="40" t="s">
        <v>4</v>
      </c>
      <c r="D13" s="40" t="s">
        <v>5</v>
      </c>
      <c r="E13" s="73" t="s">
        <v>23</v>
      </c>
      <c r="F13" s="305" t="s">
        <v>177</v>
      </c>
      <c r="G13" s="305" t="s">
        <v>177</v>
      </c>
      <c r="H13" s="65"/>
      <c r="I13" s="28"/>
      <c r="J13" s="305" t="s">
        <v>177</v>
      </c>
      <c r="K13" s="305" t="s">
        <v>177</v>
      </c>
      <c r="L13" s="28"/>
      <c r="M13" s="28"/>
      <c r="N13" s="34">
        <v>11</v>
      </c>
      <c r="O13" s="34">
        <v>11</v>
      </c>
      <c r="P13" s="28"/>
      <c r="Q13" s="28"/>
      <c r="R13" s="27">
        <v>11</v>
      </c>
      <c r="S13" s="27">
        <v>11</v>
      </c>
      <c r="T13" s="28"/>
      <c r="U13" s="65"/>
      <c r="V13" s="34">
        <v>11</v>
      </c>
      <c r="W13" s="27">
        <v>11</v>
      </c>
      <c r="X13" s="28"/>
      <c r="Y13" s="28"/>
      <c r="Z13" s="27">
        <v>11</v>
      </c>
      <c r="AA13" s="27">
        <v>11</v>
      </c>
      <c r="AB13" s="65"/>
      <c r="AC13" s="65"/>
      <c r="AD13" s="27">
        <v>11</v>
      </c>
      <c r="AE13" s="27">
        <v>11</v>
      </c>
      <c r="AF13" s="28"/>
      <c r="AG13" s="28"/>
      <c r="AH13" s="27">
        <v>11</v>
      </c>
      <c r="AI13" s="34">
        <v>11</v>
      </c>
      <c r="AJ13" s="65"/>
      <c r="AK13" s="83">
        <f>SUM(F13:AJ13)</f>
        <v>132</v>
      </c>
      <c r="AL13" s="214">
        <f t="shared" ref="AL13" si="3">AK13/11</f>
        <v>12</v>
      </c>
      <c r="AM13" s="243">
        <f>AK13*426.136363636</f>
        <v>56249.999999952001</v>
      </c>
      <c r="AN13" s="15" t="s">
        <v>124</v>
      </c>
    </row>
    <row r="14" spans="1:44" ht="35.1" customHeight="1" x14ac:dyDescent="0.25">
      <c r="A14" s="101">
        <v>6</v>
      </c>
      <c r="B14" s="6" t="s">
        <v>213</v>
      </c>
      <c r="C14" s="40" t="s">
        <v>6</v>
      </c>
      <c r="D14" s="40" t="s">
        <v>214</v>
      </c>
      <c r="E14" s="73" t="s">
        <v>2</v>
      </c>
      <c r="F14" s="26">
        <v>8</v>
      </c>
      <c r="G14" s="65"/>
      <c r="H14" s="65"/>
      <c r="I14" s="27">
        <v>8</v>
      </c>
      <c r="J14" s="27">
        <v>8</v>
      </c>
      <c r="K14" s="27">
        <v>8</v>
      </c>
      <c r="L14" s="27">
        <v>8</v>
      </c>
      <c r="M14" s="27">
        <v>8</v>
      </c>
      <c r="N14" s="253">
        <v>8</v>
      </c>
      <c r="O14" s="65"/>
      <c r="P14" s="35">
        <v>8</v>
      </c>
      <c r="Q14" s="35">
        <v>8</v>
      </c>
      <c r="R14" s="35">
        <v>8</v>
      </c>
      <c r="S14" s="35">
        <v>8</v>
      </c>
      <c r="T14" s="35">
        <v>8</v>
      </c>
      <c r="U14" s="253">
        <v>8</v>
      </c>
      <c r="V14" s="213">
        <v>8</v>
      </c>
      <c r="W14" s="35">
        <v>8</v>
      </c>
      <c r="X14" s="35">
        <v>8</v>
      </c>
      <c r="Y14" s="35">
        <v>8</v>
      </c>
      <c r="Z14" s="35">
        <v>8</v>
      </c>
      <c r="AA14" s="35">
        <v>8</v>
      </c>
      <c r="AB14" s="213">
        <v>8</v>
      </c>
      <c r="AC14" s="65"/>
      <c r="AD14" s="35">
        <v>8</v>
      </c>
      <c r="AE14" s="35">
        <v>8</v>
      </c>
      <c r="AF14" s="35">
        <v>8</v>
      </c>
      <c r="AG14" s="35">
        <v>8</v>
      </c>
      <c r="AH14" s="35">
        <v>8</v>
      </c>
      <c r="AI14" s="253">
        <v>8</v>
      </c>
      <c r="AJ14" s="253">
        <v>8</v>
      </c>
      <c r="AK14" s="82">
        <f>SUM(F14:AJ14)</f>
        <v>216</v>
      </c>
      <c r="AL14" s="214">
        <f t="shared" si="0"/>
        <v>27</v>
      </c>
      <c r="AM14" s="243">
        <f>AL14*3571.42857142</f>
        <v>96428.571428340001</v>
      </c>
      <c r="AN14" s="15" t="s">
        <v>124</v>
      </c>
    </row>
    <row r="15" spans="1:44" ht="35.1" customHeight="1" x14ac:dyDescent="0.25">
      <c r="A15" s="101">
        <v>7</v>
      </c>
      <c r="B15" s="6" t="s">
        <v>7</v>
      </c>
      <c r="C15" s="40" t="s">
        <v>6</v>
      </c>
      <c r="D15" s="40" t="s">
        <v>9</v>
      </c>
      <c r="E15" s="73" t="s">
        <v>2</v>
      </c>
      <c r="F15" s="26">
        <v>8</v>
      </c>
      <c r="G15" s="65"/>
      <c r="H15" s="65"/>
      <c r="I15" s="27">
        <v>8</v>
      </c>
      <c r="J15" s="27">
        <v>8</v>
      </c>
      <c r="K15" s="27">
        <v>8</v>
      </c>
      <c r="L15" s="27">
        <v>8</v>
      </c>
      <c r="M15" s="27">
        <v>8</v>
      </c>
      <c r="N15" s="253">
        <v>8</v>
      </c>
      <c r="O15" s="65"/>
      <c r="P15" s="35">
        <v>8</v>
      </c>
      <c r="Q15" s="35">
        <v>8</v>
      </c>
      <c r="R15" s="35">
        <v>8</v>
      </c>
      <c r="S15" s="35">
        <v>8</v>
      </c>
      <c r="T15" s="301" t="s">
        <v>170</v>
      </c>
      <c r="U15" s="303" t="s">
        <v>170</v>
      </c>
      <c r="V15" s="301" t="s">
        <v>170</v>
      </c>
      <c r="W15" s="301" t="s">
        <v>170</v>
      </c>
      <c r="X15" s="301" t="s">
        <v>170</v>
      </c>
      <c r="Y15" s="301" t="s">
        <v>170</v>
      </c>
      <c r="Z15" s="301" t="s">
        <v>170</v>
      </c>
      <c r="AA15" s="301" t="s">
        <v>170</v>
      </c>
      <c r="AB15" s="301" t="s">
        <v>170</v>
      </c>
      <c r="AC15" s="303" t="s">
        <v>170</v>
      </c>
      <c r="AD15" s="301" t="s">
        <v>170</v>
      </c>
      <c r="AE15" s="301" t="s">
        <v>170</v>
      </c>
      <c r="AF15" s="301" t="s">
        <v>170</v>
      </c>
      <c r="AG15" s="301" t="s">
        <v>170</v>
      </c>
      <c r="AH15" s="35">
        <v>8</v>
      </c>
      <c r="AI15" s="253">
        <v>8</v>
      </c>
      <c r="AJ15" s="65"/>
      <c r="AK15" s="82">
        <f>SUM(F15:AJ15)</f>
        <v>104</v>
      </c>
      <c r="AL15" s="214">
        <f t="shared" si="0"/>
        <v>13</v>
      </c>
      <c r="AM15" s="243">
        <f>AK15*357.142857142</f>
        <v>37142.857142768</v>
      </c>
      <c r="AN15" s="15" t="s">
        <v>124</v>
      </c>
    </row>
    <row r="16" spans="1:44" ht="35.1" customHeight="1" x14ac:dyDescent="0.25">
      <c r="A16" s="101">
        <v>8</v>
      </c>
      <c r="B16" s="6" t="s">
        <v>12</v>
      </c>
      <c r="C16" s="40" t="s">
        <v>8</v>
      </c>
      <c r="D16" s="40" t="s">
        <v>13</v>
      </c>
      <c r="E16" s="73" t="s">
        <v>2</v>
      </c>
      <c r="F16" s="26">
        <v>8</v>
      </c>
      <c r="G16" s="253">
        <v>8</v>
      </c>
      <c r="H16" s="65"/>
      <c r="I16" s="27">
        <v>8</v>
      </c>
      <c r="J16" s="27">
        <v>8</v>
      </c>
      <c r="K16" s="27">
        <v>8</v>
      </c>
      <c r="L16" s="27">
        <v>8</v>
      </c>
      <c r="M16" s="27">
        <v>8</v>
      </c>
      <c r="N16" s="65"/>
      <c r="O16" s="65"/>
      <c r="P16" s="35">
        <v>8</v>
      </c>
      <c r="Q16" s="35">
        <v>8</v>
      </c>
      <c r="R16" s="35">
        <v>8</v>
      </c>
      <c r="S16" s="35">
        <v>8</v>
      </c>
      <c r="T16" s="35">
        <v>8</v>
      </c>
      <c r="U16" s="253">
        <v>8</v>
      </c>
      <c r="V16" s="65"/>
      <c r="W16" s="35">
        <v>8</v>
      </c>
      <c r="X16" s="35">
        <v>8</v>
      </c>
      <c r="Y16" s="35">
        <v>8</v>
      </c>
      <c r="Z16" s="35">
        <v>8</v>
      </c>
      <c r="AA16" s="35">
        <v>8</v>
      </c>
      <c r="AB16" s="65"/>
      <c r="AC16" s="65"/>
      <c r="AD16" s="35">
        <v>8</v>
      </c>
      <c r="AE16" s="35">
        <v>8</v>
      </c>
      <c r="AF16" s="35">
        <v>8</v>
      </c>
      <c r="AG16" s="35">
        <v>8</v>
      </c>
      <c r="AH16" s="35">
        <v>8</v>
      </c>
      <c r="AI16" s="253">
        <v>8</v>
      </c>
      <c r="AJ16" s="315"/>
      <c r="AK16" s="82">
        <f t="shared" si="1"/>
        <v>192</v>
      </c>
      <c r="AL16" s="214">
        <f t="shared" si="0"/>
        <v>24</v>
      </c>
      <c r="AM16" s="243">
        <f t="shared" ref="AM16:AM20" si="4">AK16*357.142857142</f>
        <v>68571.428571263998</v>
      </c>
      <c r="AN16" s="15" t="s">
        <v>124</v>
      </c>
    </row>
    <row r="17" spans="1:41" ht="35.1" customHeight="1" x14ac:dyDescent="0.25">
      <c r="A17" s="101">
        <v>9</v>
      </c>
      <c r="B17" s="6" t="s">
        <v>14</v>
      </c>
      <c r="C17" s="40" t="s">
        <v>8</v>
      </c>
      <c r="D17" s="40" t="s">
        <v>15</v>
      </c>
      <c r="E17" s="73" t="s">
        <v>2</v>
      </c>
      <c r="F17" s="26">
        <v>8</v>
      </c>
      <c r="G17" s="65"/>
      <c r="H17" s="65"/>
      <c r="I17" s="27">
        <v>8</v>
      </c>
      <c r="J17" s="27">
        <v>8</v>
      </c>
      <c r="K17" s="27">
        <v>8</v>
      </c>
      <c r="L17" s="27">
        <v>8</v>
      </c>
      <c r="M17" s="27">
        <v>8</v>
      </c>
      <c r="N17" s="65"/>
      <c r="O17" s="65"/>
      <c r="P17" s="35">
        <v>8</v>
      </c>
      <c r="Q17" s="35">
        <v>8</v>
      </c>
      <c r="R17" s="35">
        <v>8</v>
      </c>
      <c r="S17" s="35">
        <v>8</v>
      </c>
      <c r="T17" s="35">
        <v>8</v>
      </c>
      <c r="U17" s="65"/>
      <c r="V17" s="65"/>
      <c r="W17" s="35">
        <v>8</v>
      </c>
      <c r="X17" s="35">
        <v>8</v>
      </c>
      <c r="Y17" s="35">
        <v>8</v>
      </c>
      <c r="Z17" s="35">
        <v>8</v>
      </c>
      <c r="AA17" s="35">
        <v>8</v>
      </c>
      <c r="AB17" s="65"/>
      <c r="AC17" s="65"/>
      <c r="AD17" s="301" t="s">
        <v>170</v>
      </c>
      <c r="AE17" s="301" t="s">
        <v>170</v>
      </c>
      <c r="AF17" s="301" t="s">
        <v>170</v>
      </c>
      <c r="AG17" s="301" t="s">
        <v>170</v>
      </c>
      <c r="AH17" s="301" t="s">
        <v>170</v>
      </c>
      <c r="AI17" s="303" t="s">
        <v>170</v>
      </c>
      <c r="AJ17" s="316" t="s">
        <v>170</v>
      </c>
      <c r="AK17" s="314">
        <f t="shared" si="1"/>
        <v>128</v>
      </c>
      <c r="AL17" s="214">
        <f t="shared" si="0"/>
        <v>16</v>
      </c>
      <c r="AM17" s="243">
        <f t="shared" si="4"/>
        <v>45714.285714176003</v>
      </c>
      <c r="AN17" s="16"/>
    </row>
    <row r="18" spans="1:41" ht="34.9" customHeight="1" x14ac:dyDescent="0.25">
      <c r="A18" s="101">
        <v>10</v>
      </c>
      <c r="B18" s="6" t="s">
        <v>16</v>
      </c>
      <c r="C18" s="40" t="s">
        <v>8</v>
      </c>
      <c r="D18" s="40" t="s">
        <v>15</v>
      </c>
      <c r="E18" s="73" t="s">
        <v>2</v>
      </c>
      <c r="F18" s="26">
        <v>8</v>
      </c>
      <c r="G18" s="65"/>
      <c r="H18" s="65"/>
      <c r="I18" s="27">
        <v>8</v>
      </c>
      <c r="J18" s="27">
        <v>8</v>
      </c>
      <c r="K18" s="27">
        <v>8</v>
      </c>
      <c r="L18" s="27">
        <v>8</v>
      </c>
      <c r="M18" s="27">
        <v>8</v>
      </c>
      <c r="N18" s="65"/>
      <c r="O18" s="65"/>
      <c r="P18" s="35">
        <v>8</v>
      </c>
      <c r="Q18" s="35">
        <v>8</v>
      </c>
      <c r="R18" s="35">
        <v>8</v>
      </c>
      <c r="S18" s="35">
        <v>8</v>
      </c>
      <c r="T18" s="35">
        <v>8</v>
      </c>
      <c r="U18" s="65"/>
      <c r="V18" s="65"/>
      <c r="W18" s="35">
        <v>8</v>
      </c>
      <c r="X18" s="35">
        <v>8</v>
      </c>
      <c r="Y18" s="35">
        <v>8</v>
      </c>
      <c r="Z18" s="35">
        <v>8</v>
      </c>
      <c r="AA18" s="35">
        <v>8</v>
      </c>
      <c r="AB18" s="65"/>
      <c r="AC18" s="65"/>
      <c r="AD18" s="301" t="s">
        <v>170</v>
      </c>
      <c r="AE18" s="301" t="s">
        <v>170</v>
      </c>
      <c r="AF18" s="301" t="s">
        <v>170</v>
      </c>
      <c r="AG18" s="301" t="s">
        <v>170</v>
      </c>
      <c r="AH18" s="301" t="s">
        <v>170</v>
      </c>
      <c r="AI18" s="301" t="s">
        <v>170</v>
      </c>
      <c r="AJ18" s="301" t="s">
        <v>170</v>
      </c>
      <c r="AK18" s="82">
        <f t="shared" si="1"/>
        <v>128</v>
      </c>
      <c r="AL18" s="214">
        <f t="shared" si="0"/>
        <v>16</v>
      </c>
      <c r="AM18" s="243">
        <f t="shared" si="4"/>
        <v>45714.285714176003</v>
      </c>
      <c r="AN18" s="16"/>
    </row>
    <row r="19" spans="1:41" ht="35.1" customHeight="1" x14ac:dyDescent="0.25">
      <c r="A19" s="101">
        <v>11</v>
      </c>
      <c r="B19" s="6" t="s">
        <v>19</v>
      </c>
      <c r="C19" s="40" t="s">
        <v>8</v>
      </c>
      <c r="D19" s="40" t="s">
        <v>20</v>
      </c>
      <c r="E19" s="73" t="s">
        <v>2</v>
      </c>
      <c r="F19" s="26">
        <v>8</v>
      </c>
      <c r="G19" s="65"/>
      <c r="H19" s="65"/>
      <c r="I19" s="27">
        <v>8</v>
      </c>
      <c r="J19" s="285" t="s">
        <v>172</v>
      </c>
      <c r="K19" s="285" t="s">
        <v>172</v>
      </c>
      <c r="L19" s="285" t="s">
        <v>172</v>
      </c>
      <c r="M19" s="285" t="s">
        <v>172</v>
      </c>
      <c r="N19" s="65"/>
      <c r="O19" s="65"/>
      <c r="P19" s="35">
        <v>8</v>
      </c>
      <c r="Q19" s="35">
        <v>8</v>
      </c>
      <c r="R19" s="35">
        <v>8</v>
      </c>
      <c r="S19" s="35">
        <v>8</v>
      </c>
      <c r="T19" s="35">
        <v>8</v>
      </c>
      <c r="U19" s="65"/>
      <c r="V19" s="65"/>
      <c r="W19" s="35">
        <v>8</v>
      </c>
      <c r="X19" s="35">
        <v>8</v>
      </c>
      <c r="Y19" s="35">
        <v>8</v>
      </c>
      <c r="Z19" s="35">
        <v>8</v>
      </c>
      <c r="AA19" s="35">
        <v>8</v>
      </c>
      <c r="AB19" s="65"/>
      <c r="AC19" s="65"/>
      <c r="AD19" s="35">
        <v>8</v>
      </c>
      <c r="AE19" s="35">
        <v>8</v>
      </c>
      <c r="AF19" s="35">
        <v>8</v>
      </c>
      <c r="AG19" s="35">
        <v>8</v>
      </c>
      <c r="AH19" s="35">
        <v>8</v>
      </c>
      <c r="AI19" s="65"/>
      <c r="AJ19" s="65"/>
      <c r="AK19" s="82">
        <f t="shared" si="1"/>
        <v>136</v>
      </c>
      <c r="AL19" s="214">
        <f t="shared" si="0"/>
        <v>17</v>
      </c>
      <c r="AM19" s="243">
        <f t="shared" si="4"/>
        <v>48571.428571312004</v>
      </c>
      <c r="AN19" s="15" t="s">
        <v>124</v>
      </c>
    </row>
    <row r="20" spans="1:41" ht="35.1" customHeight="1" x14ac:dyDescent="0.25">
      <c r="A20" s="101">
        <v>12</v>
      </c>
      <c r="B20" s="6" t="s">
        <v>17</v>
      </c>
      <c r="C20" s="40" t="s">
        <v>8</v>
      </c>
      <c r="D20" s="40" t="s">
        <v>18</v>
      </c>
      <c r="E20" s="73" t="s">
        <v>2</v>
      </c>
      <c r="F20" s="26">
        <v>8</v>
      </c>
      <c r="G20" s="253">
        <v>8</v>
      </c>
      <c r="H20" s="65"/>
      <c r="I20" s="27">
        <v>8</v>
      </c>
      <c r="J20" s="27">
        <v>8</v>
      </c>
      <c r="K20" s="27">
        <v>8</v>
      </c>
      <c r="L20" s="27">
        <v>8</v>
      </c>
      <c r="M20" s="27">
        <v>8</v>
      </c>
      <c r="N20" s="65"/>
      <c r="O20" s="65"/>
      <c r="P20" s="35">
        <v>8</v>
      </c>
      <c r="Q20" s="35">
        <v>8</v>
      </c>
      <c r="R20" s="35">
        <v>8</v>
      </c>
      <c r="S20" s="35">
        <v>8</v>
      </c>
      <c r="T20" s="35">
        <v>8</v>
      </c>
      <c r="U20" s="253">
        <v>8</v>
      </c>
      <c r="V20" s="65"/>
      <c r="W20" s="35">
        <v>8</v>
      </c>
      <c r="X20" s="35">
        <v>8</v>
      </c>
      <c r="Y20" s="35">
        <v>8</v>
      </c>
      <c r="Z20" s="35">
        <v>8</v>
      </c>
      <c r="AA20" s="35">
        <v>8</v>
      </c>
      <c r="AB20" s="65"/>
      <c r="AC20" s="65"/>
      <c r="AD20" s="35">
        <v>8</v>
      </c>
      <c r="AE20" s="35">
        <v>8</v>
      </c>
      <c r="AF20" s="35">
        <v>8</v>
      </c>
      <c r="AG20" s="35">
        <v>8</v>
      </c>
      <c r="AH20" s="35">
        <v>8</v>
      </c>
      <c r="AI20" s="253">
        <v>8</v>
      </c>
      <c r="AJ20" s="65"/>
      <c r="AK20" s="82">
        <f t="shared" si="1"/>
        <v>192</v>
      </c>
      <c r="AL20" s="214">
        <f>AK20/8</f>
        <v>24</v>
      </c>
      <c r="AM20" s="243">
        <f t="shared" si="4"/>
        <v>68571.428571263998</v>
      </c>
      <c r="AN20" s="15" t="s">
        <v>124</v>
      </c>
    </row>
    <row r="21" spans="1:41" ht="35.1" customHeight="1" x14ac:dyDescent="0.25">
      <c r="A21" s="101">
        <v>13</v>
      </c>
      <c r="B21" s="6" t="s">
        <v>139</v>
      </c>
      <c r="C21" s="40" t="s">
        <v>8</v>
      </c>
      <c r="D21" s="40" t="s">
        <v>140</v>
      </c>
      <c r="E21" s="73" t="s">
        <v>2</v>
      </c>
      <c r="F21" s="305" t="s">
        <v>177</v>
      </c>
      <c r="G21" s="65"/>
      <c r="H21" s="65"/>
      <c r="I21" s="27">
        <v>8</v>
      </c>
      <c r="J21" s="27">
        <v>8</v>
      </c>
      <c r="K21" s="27">
        <v>8</v>
      </c>
      <c r="L21" s="305" t="s">
        <v>177</v>
      </c>
      <c r="M21" s="305" t="s">
        <v>177</v>
      </c>
      <c r="N21" s="305" t="s">
        <v>177</v>
      </c>
      <c r="O21" s="305" t="s">
        <v>177</v>
      </c>
      <c r="P21" s="305" t="s">
        <v>177</v>
      </c>
      <c r="Q21" s="305" t="s">
        <v>172</v>
      </c>
      <c r="R21" s="35">
        <v>8</v>
      </c>
      <c r="S21" s="35">
        <v>8</v>
      </c>
      <c r="T21" s="35">
        <v>8</v>
      </c>
      <c r="U21" s="65"/>
      <c r="V21" s="65"/>
      <c r="W21" s="35">
        <v>8</v>
      </c>
      <c r="X21" s="35">
        <v>8</v>
      </c>
      <c r="Y21" s="35">
        <v>8</v>
      </c>
      <c r="Z21" s="35">
        <v>8</v>
      </c>
      <c r="AA21" s="35">
        <v>8</v>
      </c>
      <c r="AB21" s="65"/>
      <c r="AC21" s="65"/>
      <c r="AD21" s="35">
        <v>8</v>
      </c>
      <c r="AE21" s="35">
        <v>8</v>
      </c>
      <c r="AF21" s="35">
        <v>8</v>
      </c>
      <c r="AG21" s="35">
        <v>8</v>
      </c>
      <c r="AH21" s="35">
        <v>8</v>
      </c>
      <c r="AI21" s="65"/>
      <c r="AJ21" s="65"/>
      <c r="AK21" s="82">
        <f t="shared" si="1"/>
        <v>128</v>
      </c>
      <c r="AL21" s="214">
        <f>AK21/8</f>
        <v>16</v>
      </c>
      <c r="AM21" s="243">
        <f>AK21*357.142857142</f>
        <v>45714.285714176003</v>
      </c>
      <c r="AN21" s="15"/>
    </row>
    <row r="22" spans="1:41" ht="35.1" customHeight="1" x14ac:dyDescent="0.25">
      <c r="A22" s="101">
        <v>14</v>
      </c>
      <c r="B22" s="6" t="s">
        <v>219</v>
      </c>
      <c r="C22" s="40" t="s">
        <v>8</v>
      </c>
      <c r="D22" s="40" t="s">
        <v>222</v>
      </c>
      <c r="E22" s="73" t="s">
        <v>2</v>
      </c>
      <c r="F22" s="30"/>
      <c r="G22" s="65"/>
      <c r="H22" s="65"/>
      <c r="I22" s="28"/>
      <c r="J22" s="28"/>
      <c r="K22" s="28"/>
      <c r="L22" s="28"/>
      <c r="M22" s="28"/>
      <c r="N22" s="65"/>
      <c r="O22" s="65"/>
      <c r="P22" s="28"/>
      <c r="Q22" s="28"/>
      <c r="R22" s="28"/>
      <c r="S22" s="28"/>
      <c r="T22" s="28"/>
      <c r="U22" s="65"/>
      <c r="V22" s="65"/>
      <c r="W22" s="28"/>
      <c r="X22" s="27">
        <v>8</v>
      </c>
      <c r="Y22" s="27">
        <v>8</v>
      </c>
      <c r="Z22" s="27">
        <v>8</v>
      </c>
      <c r="AA22" s="27">
        <v>8</v>
      </c>
      <c r="AB22" s="65"/>
      <c r="AC22" s="65"/>
      <c r="AD22" s="27">
        <v>8</v>
      </c>
      <c r="AE22" s="27">
        <v>8</v>
      </c>
      <c r="AF22" s="27">
        <v>8</v>
      </c>
      <c r="AG22" s="27">
        <v>8</v>
      </c>
      <c r="AH22" s="27">
        <v>8</v>
      </c>
      <c r="AI22" s="65"/>
      <c r="AJ22" s="65"/>
      <c r="AK22" s="82">
        <f t="shared" si="1"/>
        <v>72</v>
      </c>
      <c r="AL22" s="214">
        <f t="shared" si="0"/>
        <v>9</v>
      </c>
      <c r="AM22" s="320">
        <f>AK22*357.142857142</f>
        <v>25714.285714224003</v>
      </c>
      <c r="AN22" s="15" t="s">
        <v>124</v>
      </c>
    </row>
    <row r="23" spans="1:41" ht="35.1" customHeight="1" x14ac:dyDescent="0.25">
      <c r="A23" s="51">
        <v>15</v>
      </c>
      <c r="B23" s="6" t="s">
        <v>220</v>
      </c>
      <c r="C23" s="40" t="s">
        <v>8</v>
      </c>
      <c r="D23" s="40" t="s">
        <v>221</v>
      </c>
      <c r="E23" s="73" t="s">
        <v>2</v>
      </c>
      <c r="F23" s="30"/>
      <c r="G23" s="65"/>
      <c r="H23" s="65"/>
      <c r="I23" s="28"/>
      <c r="J23" s="28"/>
      <c r="K23" s="28"/>
      <c r="L23" s="28"/>
      <c r="M23" s="28"/>
      <c r="N23" s="65"/>
      <c r="O23" s="65"/>
      <c r="P23" s="28"/>
      <c r="Q23" s="28"/>
      <c r="R23" s="28"/>
      <c r="S23" s="28"/>
      <c r="T23" s="28"/>
      <c r="U23" s="65"/>
      <c r="V23" s="65"/>
      <c r="W23" s="28"/>
      <c r="X23" s="27">
        <v>8</v>
      </c>
      <c r="Y23" s="27">
        <v>8</v>
      </c>
      <c r="Z23" s="27">
        <v>8</v>
      </c>
      <c r="AA23" s="27">
        <v>8</v>
      </c>
      <c r="AB23" s="65"/>
      <c r="AC23" s="65"/>
      <c r="AD23" s="27">
        <v>8</v>
      </c>
      <c r="AE23" s="27">
        <v>8</v>
      </c>
      <c r="AF23" s="27">
        <v>8</v>
      </c>
      <c r="AG23" s="27">
        <v>8</v>
      </c>
      <c r="AH23" s="27">
        <v>8</v>
      </c>
      <c r="AI23" s="65"/>
      <c r="AJ23" s="65"/>
      <c r="AK23" s="82">
        <f t="shared" si="1"/>
        <v>72</v>
      </c>
      <c r="AL23" s="214">
        <f t="shared" si="0"/>
        <v>9</v>
      </c>
      <c r="AM23" s="243">
        <f>AK23*357.142857142</f>
        <v>25714.285714224003</v>
      </c>
      <c r="AN23" s="15" t="s">
        <v>124</v>
      </c>
    </row>
    <row r="24" spans="1:41" ht="35.1" customHeight="1" x14ac:dyDescent="0.25">
      <c r="A24" s="51"/>
      <c r="B24" s="6" t="s">
        <v>35</v>
      </c>
      <c r="C24" s="40" t="s">
        <v>8</v>
      </c>
      <c r="D24" s="40" t="s">
        <v>147</v>
      </c>
      <c r="E24" s="73" t="s">
        <v>2</v>
      </c>
      <c r="F24" s="30"/>
      <c r="G24" s="65"/>
      <c r="H24" s="65"/>
      <c r="I24" s="28"/>
      <c r="J24" s="28"/>
      <c r="K24" s="28"/>
      <c r="L24" s="28"/>
      <c r="M24" s="28"/>
      <c r="N24" s="65"/>
      <c r="O24" s="65"/>
      <c r="P24" s="28"/>
      <c r="Q24" s="28"/>
      <c r="R24" s="28"/>
      <c r="S24" s="28"/>
      <c r="T24" s="28"/>
      <c r="U24" s="65"/>
      <c r="V24" s="65"/>
      <c r="W24" s="28"/>
      <c r="X24" s="28"/>
      <c r="Y24" s="28"/>
      <c r="Z24" s="28"/>
      <c r="AA24" s="28"/>
      <c r="AB24" s="65"/>
      <c r="AC24" s="65"/>
      <c r="AD24" s="28"/>
      <c r="AE24" s="28"/>
      <c r="AF24" s="28"/>
      <c r="AG24" s="28"/>
      <c r="AH24" s="28"/>
      <c r="AI24" s="65"/>
      <c r="AJ24" s="65"/>
      <c r="AK24" s="82">
        <f t="shared" si="1"/>
        <v>0</v>
      </c>
      <c r="AL24" s="214">
        <f t="shared" si="0"/>
        <v>0</v>
      </c>
      <c r="AM24" s="219"/>
      <c r="AN24" s="17" t="s">
        <v>152</v>
      </c>
    </row>
    <row r="25" spans="1:41" ht="35.1" customHeight="1" x14ac:dyDescent="0.25">
      <c r="A25" s="51"/>
      <c r="B25" s="6" t="s">
        <v>35</v>
      </c>
      <c r="C25" s="40" t="s">
        <v>8</v>
      </c>
      <c r="D25" s="40"/>
      <c r="E25" s="73" t="s">
        <v>2</v>
      </c>
      <c r="F25" s="30"/>
      <c r="G25" s="65"/>
      <c r="H25" s="65"/>
      <c r="I25" s="28"/>
      <c r="J25" s="28"/>
      <c r="K25" s="28"/>
      <c r="L25" s="28"/>
      <c r="M25" s="28"/>
      <c r="N25" s="65"/>
      <c r="O25" s="65"/>
      <c r="P25" s="28"/>
      <c r="Q25" s="28"/>
      <c r="R25" s="28"/>
      <c r="S25" s="28"/>
      <c r="T25" s="28"/>
      <c r="U25" s="65"/>
      <c r="V25" s="65"/>
      <c r="W25" s="28"/>
      <c r="X25" s="28"/>
      <c r="Y25" s="28"/>
      <c r="Z25" s="28"/>
      <c r="AA25" s="28"/>
      <c r="AB25" s="65"/>
      <c r="AC25" s="65"/>
      <c r="AD25" s="28"/>
      <c r="AE25" s="28"/>
      <c r="AF25" s="28"/>
      <c r="AG25" s="28"/>
      <c r="AH25" s="28"/>
      <c r="AI25" s="65"/>
      <c r="AJ25" s="65"/>
      <c r="AK25" s="82">
        <f t="shared" si="1"/>
        <v>0</v>
      </c>
      <c r="AL25" s="214">
        <f t="shared" si="0"/>
        <v>0</v>
      </c>
      <c r="AM25" s="219"/>
      <c r="AN25" s="15"/>
    </row>
    <row r="26" spans="1:41" ht="35.1" customHeight="1" x14ac:dyDescent="0.25">
      <c r="A26" s="51"/>
      <c r="B26" s="6" t="s">
        <v>35</v>
      </c>
      <c r="C26" s="40" t="s">
        <v>8</v>
      </c>
      <c r="D26" s="40"/>
      <c r="E26" s="73" t="s">
        <v>2</v>
      </c>
      <c r="F26" s="30"/>
      <c r="G26" s="65"/>
      <c r="H26" s="65"/>
      <c r="I26" s="28"/>
      <c r="J26" s="28"/>
      <c r="K26" s="28"/>
      <c r="L26" s="28"/>
      <c r="M26" s="28"/>
      <c r="N26" s="65"/>
      <c r="O26" s="65"/>
      <c r="P26" s="28"/>
      <c r="Q26" s="28"/>
      <c r="R26" s="28"/>
      <c r="S26" s="28"/>
      <c r="T26" s="28"/>
      <c r="U26" s="65"/>
      <c r="V26" s="65"/>
      <c r="W26" s="28"/>
      <c r="X26" s="28"/>
      <c r="Y26" s="28"/>
      <c r="Z26" s="28"/>
      <c r="AA26" s="28"/>
      <c r="AB26" s="65"/>
      <c r="AC26" s="65"/>
      <c r="AD26" s="28"/>
      <c r="AE26" s="28"/>
      <c r="AF26" s="28"/>
      <c r="AG26" s="28"/>
      <c r="AH26" s="28"/>
      <c r="AI26" s="65"/>
      <c r="AJ26" s="65"/>
      <c r="AK26" s="82">
        <f t="shared" si="1"/>
        <v>0</v>
      </c>
      <c r="AL26" s="214">
        <f t="shared" si="0"/>
        <v>0</v>
      </c>
      <c r="AM26" s="219"/>
      <c r="AN26" s="15"/>
    </row>
    <row r="27" spans="1:41" ht="35.1" customHeight="1" thickBot="1" x14ac:dyDescent="0.3">
      <c r="A27" s="68"/>
      <c r="B27" s="48" t="s">
        <v>35</v>
      </c>
      <c r="C27" s="41" t="s">
        <v>8</v>
      </c>
      <c r="D27" s="41"/>
      <c r="E27" s="74" t="s">
        <v>2</v>
      </c>
      <c r="F27" s="31"/>
      <c r="G27" s="65"/>
      <c r="H27" s="65"/>
      <c r="I27" s="32"/>
      <c r="J27" s="32"/>
      <c r="K27" s="32"/>
      <c r="L27" s="32"/>
      <c r="M27" s="32"/>
      <c r="N27" s="65"/>
      <c r="O27" s="65"/>
      <c r="P27" s="32"/>
      <c r="Q27" s="32"/>
      <c r="R27" s="32"/>
      <c r="S27" s="32"/>
      <c r="T27" s="32"/>
      <c r="U27" s="65"/>
      <c r="V27" s="65"/>
      <c r="W27" s="32"/>
      <c r="X27" s="32"/>
      <c r="Y27" s="32"/>
      <c r="Z27" s="32"/>
      <c r="AA27" s="32"/>
      <c r="AB27" s="65"/>
      <c r="AC27" s="65"/>
      <c r="AD27" s="32"/>
      <c r="AE27" s="32"/>
      <c r="AF27" s="32"/>
      <c r="AG27" s="32"/>
      <c r="AH27" s="32"/>
      <c r="AI27" s="65"/>
      <c r="AJ27" s="65"/>
      <c r="AK27" s="76">
        <f t="shared" si="1"/>
        <v>0</v>
      </c>
      <c r="AL27" s="241">
        <f t="shared" si="0"/>
        <v>0</v>
      </c>
      <c r="AM27" s="242"/>
      <c r="AN27" s="15"/>
    </row>
    <row r="28" spans="1:41" ht="24.75" customHeight="1" thickBot="1" x14ac:dyDescent="0.3">
      <c r="A28" s="371" t="s">
        <v>24</v>
      </c>
      <c r="B28" s="372"/>
      <c r="C28" s="372"/>
      <c r="D28" s="372"/>
      <c r="E28" s="372"/>
      <c r="F28" s="85">
        <f t="shared" ref="F28:AJ28" si="5">COUNT(F7:F27)</f>
        <v>12</v>
      </c>
      <c r="G28" s="66">
        <f t="shared" si="5"/>
        <v>3</v>
      </c>
      <c r="H28" s="66">
        <f t="shared" si="5"/>
        <v>1</v>
      </c>
      <c r="I28" s="66">
        <f t="shared" si="5"/>
        <v>12</v>
      </c>
      <c r="J28" s="66">
        <f t="shared" si="5"/>
        <v>12</v>
      </c>
      <c r="K28" s="66">
        <f t="shared" si="5"/>
        <v>12</v>
      </c>
      <c r="L28" s="66">
        <f t="shared" si="5"/>
        <v>11</v>
      </c>
      <c r="M28" s="66">
        <f t="shared" si="5"/>
        <v>11</v>
      </c>
      <c r="N28" s="66">
        <f t="shared" si="5"/>
        <v>4</v>
      </c>
      <c r="O28" s="66">
        <f t="shared" si="5"/>
        <v>2</v>
      </c>
      <c r="P28" s="66">
        <f t="shared" si="5"/>
        <v>11</v>
      </c>
      <c r="Q28" s="66">
        <f t="shared" si="5"/>
        <v>11</v>
      </c>
      <c r="R28" s="66">
        <f t="shared" si="5"/>
        <v>13</v>
      </c>
      <c r="S28" s="66">
        <f t="shared" si="5"/>
        <v>13</v>
      </c>
      <c r="T28" s="66">
        <f t="shared" si="5"/>
        <v>11</v>
      </c>
      <c r="U28" s="66">
        <f t="shared" si="5"/>
        <v>4</v>
      </c>
      <c r="V28" s="66">
        <f t="shared" si="5"/>
        <v>3</v>
      </c>
      <c r="W28" s="66">
        <f t="shared" si="5"/>
        <v>13</v>
      </c>
      <c r="X28" s="66">
        <f t="shared" si="5"/>
        <v>14</v>
      </c>
      <c r="Y28" s="66">
        <f t="shared" si="5"/>
        <v>14</v>
      </c>
      <c r="Z28" s="66">
        <f t="shared" si="5"/>
        <v>15</v>
      </c>
      <c r="AA28" s="66">
        <f t="shared" si="5"/>
        <v>15</v>
      </c>
      <c r="AB28" s="66">
        <f t="shared" si="5"/>
        <v>3</v>
      </c>
      <c r="AC28" s="66">
        <f t="shared" si="5"/>
        <v>1</v>
      </c>
      <c r="AD28" s="66">
        <f t="shared" si="5"/>
        <v>13</v>
      </c>
      <c r="AE28" s="66">
        <f t="shared" si="5"/>
        <v>13</v>
      </c>
      <c r="AF28" s="66">
        <f t="shared" si="5"/>
        <v>12</v>
      </c>
      <c r="AG28" s="66">
        <f t="shared" si="5"/>
        <v>12</v>
      </c>
      <c r="AH28" s="66">
        <f t="shared" si="5"/>
        <v>14</v>
      </c>
      <c r="AI28" s="66">
        <f t="shared" si="5"/>
        <v>7</v>
      </c>
      <c r="AJ28" s="87">
        <f t="shared" si="5"/>
        <v>4</v>
      </c>
      <c r="AK28" s="107">
        <f>SUM(AK11:AK27)</f>
        <v>1836</v>
      </c>
      <c r="AL28" s="67">
        <f>SUM(AL11:AL27)</f>
        <v>225</v>
      </c>
      <c r="AM28" s="281">
        <f>AN28-AM11-AM12-AM13-AM14-AM15-AM16-AM17-AM18-AM19-AM20-AM21</f>
        <v>432321.4285728198</v>
      </c>
      <c r="AN28" s="308">
        <v>1096400</v>
      </c>
      <c r="AO28" s="309"/>
    </row>
    <row r="29" spans="1:41" ht="40.5" customHeight="1" thickBot="1" x14ac:dyDescent="0.3">
      <c r="A29" s="397" t="s">
        <v>190</v>
      </c>
      <c r="B29" s="398"/>
      <c r="C29" s="398"/>
      <c r="D29" s="398"/>
      <c r="E29" s="398"/>
      <c r="F29" s="398"/>
      <c r="G29" s="398"/>
      <c r="H29" s="398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8"/>
      <c r="AD29" s="398"/>
      <c r="AE29" s="398"/>
      <c r="AF29" s="398"/>
      <c r="AG29" s="398"/>
      <c r="AH29" s="398"/>
      <c r="AI29" s="398"/>
      <c r="AJ29" s="398"/>
      <c r="AK29" s="398"/>
      <c r="AL29" s="398"/>
      <c r="AM29" s="391"/>
      <c r="AN29" s="16"/>
    </row>
    <row r="30" spans="1:41" ht="35.1" customHeight="1" x14ac:dyDescent="0.25">
      <c r="A30" s="69">
        <v>16</v>
      </c>
      <c r="B30" s="70" t="s">
        <v>104</v>
      </c>
      <c r="C30" s="71" t="s">
        <v>25</v>
      </c>
      <c r="D30" s="71" t="s">
        <v>26</v>
      </c>
      <c r="E30" s="91" t="s">
        <v>2</v>
      </c>
      <c r="F30" s="23">
        <v>8</v>
      </c>
      <c r="G30" s="307">
        <v>8</v>
      </c>
      <c r="H30" s="307">
        <v>8</v>
      </c>
      <c r="I30" s="24">
        <v>8</v>
      </c>
      <c r="J30" s="24">
        <v>8</v>
      </c>
      <c r="K30" s="24">
        <v>8</v>
      </c>
      <c r="L30" s="24">
        <v>8</v>
      </c>
      <c r="M30" s="24">
        <v>8</v>
      </c>
      <c r="N30" s="239"/>
      <c r="O30" s="307">
        <v>8</v>
      </c>
      <c r="P30" s="24">
        <v>8</v>
      </c>
      <c r="Q30" s="24">
        <v>8</v>
      </c>
      <c r="R30" s="24">
        <v>8</v>
      </c>
      <c r="S30" s="24">
        <v>8</v>
      </c>
      <c r="T30" s="24">
        <v>8</v>
      </c>
      <c r="U30" s="239"/>
      <c r="V30" s="307">
        <v>8</v>
      </c>
      <c r="W30" s="24">
        <v>8</v>
      </c>
      <c r="X30" s="24">
        <v>8</v>
      </c>
      <c r="Y30" s="24">
        <v>8</v>
      </c>
      <c r="Z30" s="24">
        <v>8</v>
      </c>
      <c r="AA30" s="24">
        <v>8</v>
      </c>
      <c r="AB30" s="307">
        <v>8</v>
      </c>
      <c r="AC30" s="239"/>
      <c r="AD30" s="24">
        <v>8</v>
      </c>
      <c r="AE30" s="24">
        <v>8</v>
      </c>
      <c r="AF30" s="24">
        <v>8</v>
      </c>
      <c r="AG30" s="24">
        <v>8</v>
      </c>
      <c r="AH30" s="24">
        <v>8</v>
      </c>
      <c r="AI30" s="307">
        <v>8</v>
      </c>
      <c r="AJ30" s="307">
        <v>4</v>
      </c>
      <c r="AK30" s="83">
        <f t="shared" ref="AK30" si="6">SUM(F30:AJ30)</f>
        <v>220</v>
      </c>
      <c r="AL30" s="215">
        <f t="shared" si="0"/>
        <v>27.5</v>
      </c>
      <c r="AM30" s="245">
        <f>AK30*535.714285713</f>
        <v>117857.14285685999</v>
      </c>
      <c r="AN30" s="15" t="s">
        <v>124</v>
      </c>
    </row>
    <row r="31" spans="1:41" ht="35.1" customHeight="1" x14ac:dyDescent="0.25">
      <c r="A31" s="69">
        <v>17</v>
      </c>
      <c r="B31" s="6" t="s">
        <v>28</v>
      </c>
      <c r="C31" s="42" t="s">
        <v>34</v>
      </c>
      <c r="D31" s="92" t="s">
        <v>29</v>
      </c>
      <c r="E31" s="73" t="s">
        <v>23</v>
      </c>
      <c r="F31" s="30"/>
      <c r="G31" s="26">
        <v>11</v>
      </c>
      <c r="H31" s="305" t="s">
        <v>172</v>
      </c>
      <c r="I31" s="30"/>
      <c r="J31" s="30"/>
      <c r="K31" s="26">
        <v>11</v>
      </c>
      <c r="L31" s="26">
        <v>11</v>
      </c>
      <c r="M31" s="30"/>
      <c r="N31" s="240"/>
      <c r="O31" s="26">
        <v>11</v>
      </c>
      <c r="P31" s="26">
        <v>11</v>
      </c>
      <c r="Q31" s="30"/>
      <c r="R31" s="30"/>
      <c r="S31" s="26">
        <v>11</v>
      </c>
      <c r="T31" s="26">
        <v>11</v>
      </c>
      <c r="U31" s="240"/>
      <c r="V31" s="240"/>
      <c r="W31" s="305" t="s">
        <v>172</v>
      </c>
      <c r="X31" s="26">
        <v>11</v>
      </c>
      <c r="Y31" s="30"/>
      <c r="Z31" s="30"/>
      <c r="AA31" s="26">
        <v>11</v>
      </c>
      <c r="AB31" s="26">
        <v>11</v>
      </c>
      <c r="AC31" s="240"/>
      <c r="AD31" s="30"/>
      <c r="AE31" s="26">
        <v>11</v>
      </c>
      <c r="AF31" s="26">
        <v>11</v>
      </c>
      <c r="AG31" s="30"/>
      <c r="AH31" s="30"/>
      <c r="AI31" s="26">
        <v>11</v>
      </c>
      <c r="AJ31" s="26">
        <v>11</v>
      </c>
      <c r="AK31" s="83">
        <f>SUM(F31:AJ31)</f>
        <v>154</v>
      </c>
      <c r="AL31" s="215">
        <v>14</v>
      </c>
      <c r="AM31" s="243">
        <f>AK31*357.954545454</f>
        <v>55124.999999916006</v>
      </c>
      <c r="AN31" s="15" t="s">
        <v>124</v>
      </c>
    </row>
    <row r="32" spans="1:41" ht="35.1" customHeight="1" x14ac:dyDescent="0.25">
      <c r="A32" s="69">
        <v>18</v>
      </c>
      <c r="B32" s="6" t="s">
        <v>30</v>
      </c>
      <c r="C32" s="42" t="s">
        <v>34</v>
      </c>
      <c r="D32" s="92" t="s">
        <v>31</v>
      </c>
      <c r="E32" s="73" t="s">
        <v>23</v>
      </c>
      <c r="F32" s="26">
        <v>11</v>
      </c>
      <c r="G32" s="240"/>
      <c r="H32" s="240"/>
      <c r="I32" s="26">
        <v>11</v>
      </c>
      <c r="J32" s="26">
        <v>11</v>
      </c>
      <c r="K32" s="30"/>
      <c r="L32" s="30"/>
      <c r="M32" s="26">
        <v>11</v>
      </c>
      <c r="N32" s="26">
        <v>11</v>
      </c>
      <c r="O32" s="240"/>
      <c r="P32" s="30"/>
      <c r="Q32" s="26">
        <v>11</v>
      </c>
      <c r="R32" s="26">
        <v>11</v>
      </c>
      <c r="S32" s="30"/>
      <c r="T32" s="30"/>
      <c r="U32" s="26">
        <v>11</v>
      </c>
      <c r="V32" s="26">
        <v>11</v>
      </c>
      <c r="W32" s="30"/>
      <c r="X32" s="30"/>
      <c r="Y32" s="305" t="s">
        <v>172</v>
      </c>
      <c r="Z32" s="26">
        <v>11</v>
      </c>
      <c r="AA32" s="30"/>
      <c r="AB32" s="240"/>
      <c r="AC32" s="26">
        <v>11</v>
      </c>
      <c r="AD32" s="26">
        <v>11</v>
      </c>
      <c r="AE32" s="30"/>
      <c r="AF32" s="30"/>
      <c r="AG32" s="26">
        <v>11</v>
      </c>
      <c r="AH32" s="26">
        <v>11</v>
      </c>
      <c r="AI32" s="240"/>
      <c r="AJ32" s="240"/>
      <c r="AK32" s="83">
        <f t="shared" ref="AK32:AK37" si="7">SUM(F32:AJ32)</f>
        <v>154</v>
      </c>
      <c r="AL32" s="215">
        <f t="shared" ref="AL32:AL37" si="8">AK32/11</f>
        <v>14</v>
      </c>
      <c r="AM32" s="243">
        <f>AK32*381.818181818</f>
        <v>58799.999999972002</v>
      </c>
      <c r="AN32" s="15" t="s">
        <v>124</v>
      </c>
    </row>
    <row r="33" spans="1:40" ht="35.1" customHeight="1" x14ac:dyDescent="0.25">
      <c r="A33" s="69">
        <v>19</v>
      </c>
      <c r="B33" s="6" t="s">
        <v>32</v>
      </c>
      <c r="C33" s="42" t="s">
        <v>27</v>
      </c>
      <c r="D33" s="92" t="s">
        <v>33</v>
      </c>
      <c r="E33" s="73" t="s">
        <v>23</v>
      </c>
      <c r="F33" s="30"/>
      <c r="G33" s="26">
        <v>11</v>
      </c>
      <c r="H33" s="26">
        <v>11</v>
      </c>
      <c r="I33" s="30"/>
      <c r="J33" s="30"/>
      <c r="K33" s="26">
        <v>11</v>
      </c>
      <c r="L33" s="26">
        <v>11</v>
      </c>
      <c r="M33" s="30"/>
      <c r="N33" s="240"/>
      <c r="O33" s="26">
        <v>11</v>
      </c>
      <c r="P33" s="305" t="s">
        <v>172</v>
      </c>
      <c r="Q33" s="30"/>
      <c r="R33" s="30"/>
      <c r="S33" s="26">
        <v>11</v>
      </c>
      <c r="T33" s="26">
        <v>11</v>
      </c>
      <c r="U33" s="240"/>
      <c r="V33" s="240"/>
      <c r="W33" s="26">
        <v>11</v>
      </c>
      <c r="X33" s="26">
        <v>11</v>
      </c>
      <c r="Y33" s="30"/>
      <c r="Z33" s="30"/>
      <c r="AA33" s="305" t="s">
        <v>172</v>
      </c>
      <c r="AB33" s="26">
        <v>11</v>
      </c>
      <c r="AC33" s="240"/>
      <c r="AD33" s="30"/>
      <c r="AE33" s="26">
        <v>11</v>
      </c>
      <c r="AF33" s="26">
        <v>11</v>
      </c>
      <c r="AG33" s="30"/>
      <c r="AH33" s="30"/>
      <c r="AI33" s="26">
        <v>11</v>
      </c>
      <c r="AJ33" s="26">
        <v>11</v>
      </c>
      <c r="AK33" s="83">
        <f t="shared" si="7"/>
        <v>154</v>
      </c>
      <c r="AL33" s="215">
        <f t="shared" si="8"/>
        <v>14</v>
      </c>
      <c r="AM33" s="243">
        <f>AK33*321.59090909</f>
        <v>49524.999999860003</v>
      </c>
      <c r="AN33" s="15" t="s">
        <v>124</v>
      </c>
    </row>
    <row r="34" spans="1:40" ht="35.1" customHeight="1" x14ac:dyDescent="0.25">
      <c r="A34" s="69">
        <v>20</v>
      </c>
      <c r="B34" s="6" t="s">
        <v>142</v>
      </c>
      <c r="C34" s="42" t="s">
        <v>27</v>
      </c>
      <c r="D34" s="92" t="s">
        <v>141</v>
      </c>
      <c r="E34" s="73" t="s">
        <v>23</v>
      </c>
      <c r="F34" s="26">
        <v>11</v>
      </c>
      <c r="G34" s="306">
        <v>11</v>
      </c>
      <c r="H34" s="240"/>
      <c r="I34" s="26">
        <v>11</v>
      </c>
      <c r="J34" s="26">
        <v>11</v>
      </c>
      <c r="K34" s="30"/>
      <c r="L34" s="30"/>
      <c r="M34" s="26">
        <v>11</v>
      </c>
      <c r="N34" s="26">
        <v>11</v>
      </c>
      <c r="O34" s="240"/>
      <c r="P34" s="30"/>
      <c r="Q34" s="26">
        <v>11</v>
      </c>
      <c r="R34" s="26">
        <v>11</v>
      </c>
      <c r="S34" s="30"/>
      <c r="T34" s="30"/>
      <c r="U34" s="26">
        <v>11</v>
      </c>
      <c r="V34" s="26">
        <v>11</v>
      </c>
      <c r="W34" s="30"/>
      <c r="X34" s="30"/>
      <c r="Y34" s="26">
        <v>11</v>
      </c>
      <c r="Z34" s="26">
        <v>11</v>
      </c>
      <c r="AA34" s="30"/>
      <c r="AB34" s="240"/>
      <c r="AC34" s="26">
        <v>11</v>
      </c>
      <c r="AD34" s="26">
        <v>11</v>
      </c>
      <c r="AE34" s="30"/>
      <c r="AF34" s="30"/>
      <c r="AG34" s="26">
        <v>11</v>
      </c>
      <c r="AH34" s="26">
        <v>11</v>
      </c>
      <c r="AI34" s="240"/>
      <c r="AJ34" s="240"/>
      <c r="AK34" s="83">
        <f t="shared" si="7"/>
        <v>176</v>
      </c>
      <c r="AL34" s="215">
        <f t="shared" si="8"/>
        <v>16</v>
      </c>
      <c r="AM34" s="243">
        <f>AK34*343.03030303</f>
        <v>60373.333333280003</v>
      </c>
      <c r="AN34" s="15" t="s">
        <v>124</v>
      </c>
    </row>
    <row r="35" spans="1:40" ht="35.1" customHeight="1" x14ac:dyDescent="0.25">
      <c r="A35" s="52">
        <v>21</v>
      </c>
      <c r="B35" s="6" t="s">
        <v>215</v>
      </c>
      <c r="C35" s="42" t="s">
        <v>27</v>
      </c>
      <c r="D35" s="92" t="s">
        <v>216</v>
      </c>
      <c r="E35" s="73" t="s">
        <v>23</v>
      </c>
      <c r="F35" s="30"/>
      <c r="G35" s="240"/>
      <c r="H35" s="240"/>
      <c r="I35" s="30"/>
      <c r="J35" s="30"/>
      <c r="K35" s="26">
        <v>11</v>
      </c>
      <c r="L35" s="26">
        <v>11</v>
      </c>
      <c r="M35" s="30"/>
      <c r="N35" s="240"/>
      <c r="O35" s="26">
        <v>11</v>
      </c>
      <c r="P35" s="26">
        <v>11</v>
      </c>
      <c r="Q35" s="30"/>
      <c r="R35" s="30"/>
      <c r="S35" s="26">
        <v>11</v>
      </c>
      <c r="T35" s="26">
        <v>11</v>
      </c>
      <c r="U35" s="240"/>
      <c r="V35" s="240"/>
      <c r="W35" s="26">
        <v>11</v>
      </c>
      <c r="X35" s="26">
        <v>11</v>
      </c>
      <c r="Y35" s="30"/>
      <c r="Z35" s="30"/>
      <c r="AA35" s="26">
        <v>11</v>
      </c>
      <c r="AB35" s="26">
        <v>11</v>
      </c>
      <c r="AC35" s="240"/>
      <c r="AD35" s="30"/>
      <c r="AE35" s="26">
        <v>11</v>
      </c>
      <c r="AF35" s="26">
        <v>11</v>
      </c>
      <c r="AG35" s="30"/>
      <c r="AH35" s="30"/>
      <c r="AI35" s="26">
        <v>11</v>
      </c>
      <c r="AJ35" s="26">
        <v>11</v>
      </c>
      <c r="AK35" s="83">
        <f t="shared" si="7"/>
        <v>154</v>
      </c>
      <c r="AL35" s="215">
        <f t="shared" si="8"/>
        <v>14</v>
      </c>
      <c r="AM35" s="243">
        <f>AK35*321.59090909</f>
        <v>49524.999999860003</v>
      </c>
      <c r="AN35" s="15"/>
    </row>
    <row r="36" spans="1:40" ht="35.1" customHeight="1" x14ac:dyDescent="0.25">
      <c r="A36" s="52"/>
      <c r="B36" s="6" t="s">
        <v>35</v>
      </c>
      <c r="C36" s="42" t="s">
        <v>27</v>
      </c>
      <c r="D36" s="92"/>
      <c r="E36" s="73" t="s">
        <v>23</v>
      </c>
      <c r="F36" s="30"/>
      <c r="G36" s="240"/>
      <c r="H36" s="240"/>
      <c r="I36" s="30"/>
      <c r="J36" s="30"/>
      <c r="K36" s="30"/>
      <c r="L36" s="30"/>
      <c r="M36" s="30"/>
      <c r="N36" s="240"/>
      <c r="O36" s="240"/>
      <c r="P36" s="30"/>
      <c r="Q36" s="30"/>
      <c r="R36" s="30"/>
      <c r="S36" s="30"/>
      <c r="T36" s="30"/>
      <c r="U36" s="240"/>
      <c r="V36" s="240"/>
      <c r="W36" s="30"/>
      <c r="X36" s="30"/>
      <c r="Y36" s="30"/>
      <c r="Z36" s="30"/>
      <c r="AA36" s="30"/>
      <c r="AB36" s="240"/>
      <c r="AC36" s="240"/>
      <c r="AD36" s="30"/>
      <c r="AE36" s="30"/>
      <c r="AF36" s="30"/>
      <c r="AG36" s="30"/>
      <c r="AH36" s="30"/>
      <c r="AI36" s="240"/>
      <c r="AJ36" s="240"/>
      <c r="AK36" s="83">
        <f t="shared" si="7"/>
        <v>0</v>
      </c>
      <c r="AL36" s="215">
        <f t="shared" si="8"/>
        <v>0</v>
      </c>
      <c r="AM36" s="220"/>
      <c r="AN36" s="17" t="s">
        <v>218</v>
      </c>
    </row>
    <row r="37" spans="1:40" ht="35.1" customHeight="1" thickBot="1" x14ac:dyDescent="0.3">
      <c r="A37" s="94"/>
      <c r="B37" s="48" t="s">
        <v>35</v>
      </c>
      <c r="C37" s="43" t="s">
        <v>27</v>
      </c>
      <c r="D37" s="93"/>
      <c r="E37" s="74" t="s">
        <v>23</v>
      </c>
      <c r="F37" s="31"/>
      <c r="G37" s="259"/>
      <c r="H37" s="259"/>
      <c r="I37" s="31"/>
      <c r="J37" s="31"/>
      <c r="K37" s="31"/>
      <c r="L37" s="31"/>
      <c r="M37" s="31"/>
      <c r="N37" s="259"/>
      <c r="O37" s="259"/>
      <c r="P37" s="31"/>
      <c r="Q37" s="31"/>
      <c r="R37" s="31"/>
      <c r="S37" s="31"/>
      <c r="T37" s="31"/>
      <c r="U37" s="259"/>
      <c r="V37" s="259"/>
      <c r="W37" s="31"/>
      <c r="X37" s="31"/>
      <c r="Y37" s="31"/>
      <c r="Z37" s="31"/>
      <c r="AA37" s="31"/>
      <c r="AB37" s="259"/>
      <c r="AC37" s="259"/>
      <c r="AD37" s="31"/>
      <c r="AE37" s="31"/>
      <c r="AF37" s="31"/>
      <c r="AG37" s="31"/>
      <c r="AH37" s="31"/>
      <c r="AI37" s="259"/>
      <c r="AJ37" s="259"/>
      <c r="AK37" s="105">
        <f t="shared" si="7"/>
        <v>0</v>
      </c>
      <c r="AL37" s="216">
        <f t="shared" si="8"/>
        <v>0</v>
      </c>
      <c r="AM37" s="260"/>
      <c r="AN37" s="15"/>
    </row>
    <row r="38" spans="1:40" ht="23.25" customHeight="1" thickBot="1" x14ac:dyDescent="0.3">
      <c r="A38" s="387" t="s">
        <v>24</v>
      </c>
      <c r="B38" s="388"/>
      <c r="C38" s="388"/>
      <c r="D38" s="388"/>
      <c r="E38" s="393"/>
      <c r="F38" s="85">
        <f>COUNT(F30:F37)</f>
        <v>3</v>
      </c>
      <c r="G38" s="66">
        <f t="shared" ref="G38:AJ38" si="9">COUNT(G30:G37)</f>
        <v>4</v>
      </c>
      <c r="H38" s="66">
        <f t="shared" si="9"/>
        <v>2</v>
      </c>
      <c r="I38" s="66">
        <f t="shared" si="9"/>
        <v>3</v>
      </c>
      <c r="J38" s="66">
        <f t="shared" si="9"/>
        <v>3</v>
      </c>
      <c r="K38" s="66">
        <f t="shared" si="9"/>
        <v>4</v>
      </c>
      <c r="L38" s="66">
        <f t="shared" si="9"/>
        <v>4</v>
      </c>
      <c r="M38" s="66">
        <f t="shared" si="9"/>
        <v>3</v>
      </c>
      <c r="N38" s="66">
        <f t="shared" si="9"/>
        <v>2</v>
      </c>
      <c r="O38" s="66">
        <f t="shared" si="9"/>
        <v>4</v>
      </c>
      <c r="P38" s="66">
        <f t="shared" si="9"/>
        <v>3</v>
      </c>
      <c r="Q38" s="66">
        <f t="shared" si="9"/>
        <v>3</v>
      </c>
      <c r="R38" s="66">
        <f t="shared" si="9"/>
        <v>3</v>
      </c>
      <c r="S38" s="66">
        <f t="shared" si="9"/>
        <v>4</v>
      </c>
      <c r="T38" s="66">
        <f t="shared" si="9"/>
        <v>4</v>
      </c>
      <c r="U38" s="66">
        <f t="shared" si="9"/>
        <v>2</v>
      </c>
      <c r="V38" s="66">
        <f t="shared" si="9"/>
        <v>3</v>
      </c>
      <c r="W38" s="66">
        <f t="shared" si="9"/>
        <v>3</v>
      </c>
      <c r="X38" s="66">
        <f t="shared" si="9"/>
        <v>4</v>
      </c>
      <c r="Y38" s="66">
        <f t="shared" si="9"/>
        <v>2</v>
      </c>
      <c r="Z38" s="66">
        <f t="shared" si="9"/>
        <v>3</v>
      </c>
      <c r="AA38" s="66">
        <f t="shared" si="9"/>
        <v>3</v>
      </c>
      <c r="AB38" s="66">
        <f t="shared" si="9"/>
        <v>4</v>
      </c>
      <c r="AC38" s="66">
        <f t="shared" si="9"/>
        <v>2</v>
      </c>
      <c r="AD38" s="66">
        <f t="shared" si="9"/>
        <v>3</v>
      </c>
      <c r="AE38" s="66">
        <f t="shared" si="9"/>
        <v>4</v>
      </c>
      <c r="AF38" s="66">
        <f t="shared" si="9"/>
        <v>4</v>
      </c>
      <c r="AG38" s="66">
        <f t="shared" si="9"/>
        <v>3</v>
      </c>
      <c r="AH38" s="66">
        <f t="shared" si="9"/>
        <v>3</v>
      </c>
      <c r="AI38" s="66">
        <f t="shared" si="9"/>
        <v>4</v>
      </c>
      <c r="AJ38" s="87">
        <f t="shared" si="9"/>
        <v>4</v>
      </c>
      <c r="AK38" s="85">
        <f>SUM(AK30:AK37)</f>
        <v>1012</v>
      </c>
      <c r="AL38" s="67">
        <f>SUM(AL30:AL37)</f>
        <v>99.5</v>
      </c>
      <c r="AM38" s="311">
        <f>AN38-AM30-AM31-AM32-AM33-AM34-AM35</f>
        <v>107794.52381025197</v>
      </c>
      <c r="AN38" s="308">
        <v>499000</v>
      </c>
    </row>
    <row r="39" spans="1:40" ht="40.5" customHeight="1" thickBot="1" x14ac:dyDescent="0.3">
      <c r="A39" s="378" t="s">
        <v>191</v>
      </c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  <c r="AK39" s="379"/>
      <c r="AL39" s="379"/>
      <c r="AM39" s="380"/>
      <c r="AN39" s="16"/>
    </row>
    <row r="40" spans="1:40" ht="37.5" customHeight="1" x14ac:dyDescent="0.25">
      <c r="A40" s="69">
        <v>22</v>
      </c>
      <c r="B40" s="70" t="s">
        <v>39</v>
      </c>
      <c r="C40" s="71" t="s">
        <v>36</v>
      </c>
      <c r="D40" s="71" t="s">
        <v>40</v>
      </c>
      <c r="E40" s="91" t="s">
        <v>2</v>
      </c>
      <c r="F40" s="23">
        <v>8</v>
      </c>
      <c r="G40" s="307">
        <v>8</v>
      </c>
      <c r="H40" s="307">
        <v>4</v>
      </c>
      <c r="I40" s="24">
        <v>8</v>
      </c>
      <c r="J40" s="24">
        <v>8</v>
      </c>
      <c r="K40" s="24">
        <v>8</v>
      </c>
      <c r="L40" s="24">
        <v>8</v>
      </c>
      <c r="M40" s="24">
        <v>8</v>
      </c>
      <c r="N40" s="307">
        <v>8</v>
      </c>
      <c r="O40" s="239"/>
      <c r="P40" s="24">
        <v>8</v>
      </c>
      <c r="Q40" s="24">
        <v>8</v>
      </c>
      <c r="R40" s="24">
        <v>8</v>
      </c>
      <c r="S40" s="24">
        <v>8</v>
      </c>
      <c r="T40" s="24">
        <v>8</v>
      </c>
      <c r="U40" s="239"/>
      <c r="V40" s="307">
        <v>8</v>
      </c>
      <c r="W40" s="24">
        <v>8</v>
      </c>
      <c r="X40" s="24">
        <v>8</v>
      </c>
      <c r="Y40" s="24">
        <v>8</v>
      </c>
      <c r="Z40" s="24">
        <v>8</v>
      </c>
      <c r="AA40" s="24">
        <v>8</v>
      </c>
      <c r="AB40" s="307">
        <v>8</v>
      </c>
      <c r="AC40" s="307">
        <v>4</v>
      </c>
      <c r="AD40" s="24">
        <v>8</v>
      </c>
      <c r="AE40" s="24">
        <v>8</v>
      </c>
      <c r="AF40" s="24">
        <v>8</v>
      </c>
      <c r="AG40" s="24">
        <v>8</v>
      </c>
      <c r="AH40" s="24">
        <v>8</v>
      </c>
      <c r="AI40" s="307">
        <v>8</v>
      </c>
      <c r="AJ40" s="307">
        <v>8</v>
      </c>
      <c r="AK40" s="82">
        <f>SUM(F40:AJ40)</f>
        <v>224</v>
      </c>
      <c r="AL40" s="219">
        <f>AK40/8</f>
        <v>28</v>
      </c>
      <c r="AM40" s="245">
        <f>AK40*535.714285713</f>
        <v>119999.99999971199</v>
      </c>
      <c r="AN40" s="15" t="s">
        <v>124</v>
      </c>
    </row>
    <row r="41" spans="1:40" ht="35.1" customHeight="1" x14ac:dyDescent="0.25">
      <c r="A41" s="69">
        <v>23</v>
      </c>
      <c r="B41" s="6" t="s">
        <v>41</v>
      </c>
      <c r="C41" s="44" t="s">
        <v>38</v>
      </c>
      <c r="D41" s="92" t="s">
        <v>42</v>
      </c>
      <c r="E41" s="73" t="s">
        <v>23</v>
      </c>
      <c r="F41" s="26">
        <v>11</v>
      </c>
      <c r="G41" s="26">
        <v>11</v>
      </c>
      <c r="H41" s="240"/>
      <c r="I41" s="30"/>
      <c r="J41" s="26">
        <v>11</v>
      </c>
      <c r="K41" s="26">
        <v>11</v>
      </c>
      <c r="L41" s="30"/>
      <c r="M41" s="30"/>
      <c r="N41" s="26">
        <v>11</v>
      </c>
      <c r="O41" s="26">
        <v>11</v>
      </c>
      <c r="P41" s="30"/>
      <c r="Q41" s="30"/>
      <c r="R41" s="26">
        <v>11</v>
      </c>
      <c r="S41" s="26">
        <v>11</v>
      </c>
      <c r="T41" s="30"/>
      <c r="U41" s="240"/>
      <c r="V41" s="26">
        <v>11</v>
      </c>
      <c r="W41" s="26">
        <v>11</v>
      </c>
      <c r="X41" s="30"/>
      <c r="Y41" s="30"/>
      <c r="Z41" s="26">
        <v>11</v>
      </c>
      <c r="AA41" s="26">
        <v>11</v>
      </c>
      <c r="AB41" s="240"/>
      <c r="AC41" s="240"/>
      <c r="AD41" s="26">
        <v>11</v>
      </c>
      <c r="AE41" s="26">
        <v>11</v>
      </c>
      <c r="AF41" s="30"/>
      <c r="AG41" s="30"/>
      <c r="AH41" s="302" t="s">
        <v>170</v>
      </c>
      <c r="AI41" s="302" t="s">
        <v>170</v>
      </c>
      <c r="AJ41" s="302" t="s">
        <v>170</v>
      </c>
      <c r="AK41" s="83">
        <f>SUM(F41:AJ41)</f>
        <v>154</v>
      </c>
      <c r="AL41" s="215">
        <f t="shared" ref="AL41:AL50" si="10">AK41/11</f>
        <v>14</v>
      </c>
      <c r="AM41" s="243">
        <f>AK41*321.59090909</f>
        <v>49524.999999860003</v>
      </c>
      <c r="AN41" s="15" t="s">
        <v>124</v>
      </c>
    </row>
    <row r="42" spans="1:40" ht="34.9" customHeight="1" x14ac:dyDescent="0.25">
      <c r="A42" s="69">
        <v>24</v>
      </c>
      <c r="B42" s="6" t="s">
        <v>43</v>
      </c>
      <c r="C42" s="44" t="s">
        <v>38</v>
      </c>
      <c r="D42" s="92" t="s">
        <v>44</v>
      </c>
      <c r="E42" s="73" t="s">
        <v>23</v>
      </c>
      <c r="F42" s="26">
        <v>11</v>
      </c>
      <c r="G42" s="26">
        <v>11</v>
      </c>
      <c r="H42" s="240"/>
      <c r="I42" s="30"/>
      <c r="J42" s="26">
        <v>11</v>
      </c>
      <c r="K42" s="26">
        <v>11</v>
      </c>
      <c r="L42" s="30"/>
      <c r="M42" s="30"/>
      <c r="N42" s="26">
        <v>11</v>
      </c>
      <c r="O42" s="26">
        <v>11</v>
      </c>
      <c r="P42" s="30"/>
      <c r="Q42" s="30"/>
      <c r="R42" s="26">
        <v>11</v>
      </c>
      <c r="S42" s="26">
        <v>11</v>
      </c>
      <c r="T42" s="30"/>
      <c r="U42" s="240"/>
      <c r="V42" s="26">
        <v>11</v>
      </c>
      <c r="W42" s="26">
        <v>11</v>
      </c>
      <c r="X42" s="30"/>
      <c r="Y42" s="30"/>
      <c r="Z42" s="26">
        <v>11</v>
      </c>
      <c r="AA42" s="26">
        <v>11</v>
      </c>
      <c r="AB42" s="240"/>
      <c r="AC42" s="240"/>
      <c r="AD42" s="26">
        <v>11</v>
      </c>
      <c r="AE42" s="26">
        <v>11</v>
      </c>
      <c r="AF42" s="30"/>
      <c r="AG42" s="30"/>
      <c r="AH42" s="26">
        <v>11</v>
      </c>
      <c r="AI42" s="26">
        <v>11</v>
      </c>
      <c r="AJ42" s="240"/>
      <c r="AK42" s="83">
        <f t="shared" ref="AK42:AK50" si="11">SUM(F42:AJ42)</f>
        <v>176</v>
      </c>
      <c r="AL42" s="215">
        <f t="shared" si="10"/>
        <v>16</v>
      </c>
      <c r="AM42" s="243">
        <f t="shared" ref="AM42" si="12">AK42*321.59090909</f>
        <v>56599.999999840002</v>
      </c>
      <c r="AN42" s="15"/>
    </row>
    <row r="43" spans="1:40" ht="35.1" customHeight="1" x14ac:dyDescent="0.25">
      <c r="A43" s="69">
        <v>25</v>
      </c>
      <c r="B43" s="6" t="s">
        <v>46</v>
      </c>
      <c r="C43" s="44" t="s">
        <v>38</v>
      </c>
      <c r="D43" s="40" t="s">
        <v>47</v>
      </c>
      <c r="E43" s="73" t="s">
        <v>23</v>
      </c>
      <c r="F43" s="26">
        <v>11</v>
      </c>
      <c r="G43" s="26">
        <v>11</v>
      </c>
      <c r="H43" s="240"/>
      <c r="I43" s="30"/>
      <c r="J43" s="26">
        <v>11</v>
      </c>
      <c r="K43" s="26">
        <v>11</v>
      </c>
      <c r="L43" s="30"/>
      <c r="M43" s="30"/>
      <c r="N43" s="26">
        <v>11</v>
      </c>
      <c r="O43" s="26">
        <v>11</v>
      </c>
      <c r="P43" s="30"/>
      <c r="Q43" s="30"/>
      <c r="R43" s="26">
        <v>11</v>
      </c>
      <c r="S43" s="26">
        <v>11</v>
      </c>
      <c r="T43" s="30"/>
      <c r="U43" s="240"/>
      <c r="V43" s="302" t="s">
        <v>170</v>
      </c>
      <c r="W43" s="302" t="s">
        <v>170</v>
      </c>
      <c r="X43" s="302" t="s">
        <v>170</v>
      </c>
      <c r="Y43" s="302" t="s">
        <v>170</v>
      </c>
      <c r="Z43" s="302" t="s">
        <v>170</v>
      </c>
      <c r="AA43" s="302" t="s">
        <v>170</v>
      </c>
      <c r="AB43" s="302" t="s">
        <v>170</v>
      </c>
      <c r="AC43" s="302" t="s">
        <v>170</v>
      </c>
      <c r="AD43" s="302" t="s">
        <v>170</v>
      </c>
      <c r="AE43" s="302" t="s">
        <v>170</v>
      </c>
      <c r="AF43" s="302" t="s">
        <v>170</v>
      </c>
      <c r="AG43" s="302" t="s">
        <v>170</v>
      </c>
      <c r="AH43" s="302" t="s">
        <v>170</v>
      </c>
      <c r="AI43" s="302" t="s">
        <v>170</v>
      </c>
      <c r="AJ43" s="302" t="s">
        <v>170</v>
      </c>
      <c r="AK43" s="83">
        <f t="shared" si="11"/>
        <v>88</v>
      </c>
      <c r="AL43" s="215">
        <f t="shared" si="10"/>
        <v>8</v>
      </c>
      <c r="AM43" s="243">
        <f>AK43*321.59090909</f>
        <v>28299.999999920001</v>
      </c>
      <c r="AN43" s="18"/>
    </row>
    <row r="44" spans="1:40" ht="35.1" customHeight="1" x14ac:dyDescent="0.25">
      <c r="A44" s="69">
        <v>26</v>
      </c>
      <c r="B44" s="6" t="s">
        <v>195</v>
      </c>
      <c r="C44" s="44" t="s">
        <v>38</v>
      </c>
      <c r="D44" s="40" t="s">
        <v>196</v>
      </c>
      <c r="E44" s="73" t="s">
        <v>23</v>
      </c>
      <c r="F44" s="30"/>
      <c r="G44" s="240"/>
      <c r="H44" s="26">
        <v>11</v>
      </c>
      <c r="I44" s="26">
        <v>11</v>
      </c>
      <c r="J44" s="306">
        <v>11</v>
      </c>
      <c r="K44" s="30"/>
      <c r="L44" s="26">
        <v>11</v>
      </c>
      <c r="M44" s="26">
        <v>11</v>
      </c>
      <c r="N44" s="240"/>
      <c r="O44" s="240"/>
      <c r="P44" s="26">
        <v>11</v>
      </c>
      <c r="Q44" s="26">
        <v>11</v>
      </c>
      <c r="R44" s="30"/>
      <c r="S44" s="305" t="s">
        <v>177</v>
      </c>
      <c r="T44" s="305" t="s">
        <v>177</v>
      </c>
      <c r="U44" s="305" t="s">
        <v>177</v>
      </c>
      <c r="V44" s="305" t="s">
        <v>177</v>
      </c>
      <c r="W44" s="30"/>
      <c r="X44" s="26">
        <v>11</v>
      </c>
      <c r="Y44" s="26">
        <v>11</v>
      </c>
      <c r="Z44" s="306">
        <v>11</v>
      </c>
      <c r="AA44" s="30"/>
      <c r="AB44" s="26">
        <v>11</v>
      </c>
      <c r="AC44" s="26">
        <v>11</v>
      </c>
      <c r="AD44" s="30"/>
      <c r="AE44" s="30"/>
      <c r="AF44" s="26">
        <v>11</v>
      </c>
      <c r="AG44" s="26">
        <v>11</v>
      </c>
      <c r="AH44" s="30"/>
      <c r="AI44" s="306">
        <v>11</v>
      </c>
      <c r="AJ44" s="26">
        <v>11</v>
      </c>
      <c r="AK44" s="83">
        <f t="shared" si="11"/>
        <v>176</v>
      </c>
      <c r="AL44" s="215">
        <f t="shared" si="10"/>
        <v>16</v>
      </c>
      <c r="AM44" s="243">
        <f>AK44*343.03030303</f>
        <v>60373.333333280003</v>
      </c>
      <c r="AN44" s="15" t="s">
        <v>124</v>
      </c>
    </row>
    <row r="45" spans="1:40" ht="35.1" customHeight="1" x14ac:dyDescent="0.25">
      <c r="A45" s="52">
        <v>27</v>
      </c>
      <c r="B45" s="6" t="s">
        <v>225</v>
      </c>
      <c r="C45" s="44" t="s">
        <v>38</v>
      </c>
      <c r="D45" s="40" t="s">
        <v>226</v>
      </c>
      <c r="E45" s="73" t="s">
        <v>23</v>
      </c>
      <c r="F45" s="30"/>
      <c r="G45" s="240"/>
      <c r="H45" s="240"/>
      <c r="I45" s="30"/>
      <c r="J45" s="30"/>
      <c r="K45" s="30"/>
      <c r="L45" s="30"/>
      <c r="M45" s="30"/>
      <c r="N45" s="240"/>
      <c r="O45" s="240"/>
      <c r="P45" s="30"/>
      <c r="Q45" s="30"/>
      <c r="R45" s="30"/>
      <c r="S45" s="30"/>
      <c r="T45" s="30"/>
      <c r="U45" s="240"/>
      <c r="V45" s="240"/>
      <c r="W45" s="30"/>
      <c r="X45" s="30"/>
      <c r="Y45" s="30"/>
      <c r="Z45" s="30"/>
      <c r="AA45" s="30"/>
      <c r="AB45" s="240"/>
      <c r="AC45" s="240"/>
      <c r="AD45" s="30"/>
      <c r="AE45" s="30"/>
      <c r="AF45" s="30"/>
      <c r="AG45" s="30"/>
      <c r="AH45" s="30"/>
      <c r="AI45" s="240"/>
      <c r="AJ45" s="26">
        <v>11</v>
      </c>
      <c r="AK45" s="83">
        <f t="shared" si="11"/>
        <v>11</v>
      </c>
      <c r="AL45" s="215">
        <f t="shared" si="10"/>
        <v>1</v>
      </c>
      <c r="AM45" s="243">
        <f>AK45*343.03030303</f>
        <v>3773.3333333300002</v>
      </c>
      <c r="AN45" s="15"/>
    </row>
    <row r="46" spans="1:40" ht="35.1" customHeight="1" x14ac:dyDescent="0.25">
      <c r="A46" s="52"/>
      <c r="B46" s="6" t="s">
        <v>35</v>
      </c>
      <c r="C46" s="44" t="s">
        <v>38</v>
      </c>
      <c r="D46" s="40"/>
      <c r="E46" s="73" t="s">
        <v>23</v>
      </c>
      <c r="F46" s="30"/>
      <c r="G46" s="240"/>
      <c r="H46" s="240"/>
      <c r="I46" s="30"/>
      <c r="J46" s="30"/>
      <c r="K46" s="30"/>
      <c r="L46" s="30"/>
      <c r="M46" s="30"/>
      <c r="N46" s="240"/>
      <c r="O46" s="240"/>
      <c r="P46" s="30"/>
      <c r="Q46" s="30"/>
      <c r="R46" s="30"/>
      <c r="S46" s="30"/>
      <c r="T46" s="30"/>
      <c r="U46" s="240"/>
      <c r="V46" s="240"/>
      <c r="W46" s="30"/>
      <c r="X46" s="30"/>
      <c r="Y46" s="30"/>
      <c r="Z46" s="30"/>
      <c r="AA46" s="30"/>
      <c r="AB46" s="240"/>
      <c r="AC46" s="240"/>
      <c r="AD46" s="30"/>
      <c r="AE46" s="30"/>
      <c r="AF46" s="30"/>
      <c r="AG46" s="30"/>
      <c r="AH46" s="30"/>
      <c r="AI46" s="240"/>
      <c r="AJ46" s="240"/>
      <c r="AK46" s="83">
        <f t="shared" si="11"/>
        <v>0</v>
      </c>
      <c r="AL46" s="215">
        <f t="shared" si="10"/>
        <v>0</v>
      </c>
      <c r="AM46" s="219"/>
      <c r="AN46" s="17" t="s">
        <v>227</v>
      </c>
    </row>
    <row r="47" spans="1:40" ht="35.1" customHeight="1" x14ac:dyDescent="0.25">
      <c r="A47" s="52"/>
      <c r="B47" s="6" t="s">
        <v>35</v>
      </c>
      <c r="C47" s="44" t="s">
        <v>38</v>
      </c>
      <c r="D47" s="40"/>
      <c r="E47" s="73" t="s">
        <v>23</v>
      </c>
      <c r="F47" s="30"/>
      <c r="G47" s="240"/>
      <c r="H47" s="240"/>
      <c r="I47" s="30"/>
      <c r="J47" s="30"/>
      <c r="K47" s="30"/>
      <c r="L47" s="30"/>
      <c r="M47" s="30"/>
      <c r="N47" s="240"/>
      <c r="O47" s="240"/>
      <c r="P47" s="30"/>
      <c r="Q47" s="30"/>
      <c r="R47" s="30"/>
      <c r="S47" s="30"/>
      <c r="T47" s="30"/>
      <c r="U47" s="240"/>
      <c r="V47" s="240"/>
      <c r="W47" s="30"/>
      <c r="X47" s="30"/>
      <c r="Y47" s="30"/>
      <c r="Z47" s="30"/>
      <c r="AA47" s="30"/>
      <c r="AB47" s="240"/>
      <c r="AC47" s="240"/>
      <c r="AD47" s="30"/>
      <c r="AE47" s="30"/>
      <c r="AF47" s="30"/>
      <c r="AG47" s="30"/>
      <c r="AH47" s="30"/>
      <c r="AI47" s="240"/>
      <c r="AJ47" s="240"/>
      <c r="AK47" s="83">
        <f t="shared" si="11"/>
        <v>0</v>
      </c>
      <c r="AL47" s="215">
        <f t="shared" si="10"/>
        <v>0</v>
      </c>
      <c r="AM47" s="219"/>
      <c r="AN47" s="16"/>
    </row>
    <row r="48" spans="1:40" ht="35.1" customHeight="1" x14ac:dyDescent="0.25">
      <c r="A48" s="52"/>
      <c r="B48" s="6" t="s">
        <v>35</v>
      </c>
      <c r="C48" s="44" t="s">
        <v>38</v>
      </c>
      <c r="D48" s="40"/>
      <c r="E48" s="73" t="s">
        <v>23</v>
      </c>
      <c r="F48" s="30"/>
      <c r="G48" s="240"/>
      <c r="H48" s="240"/>
      <c r="I48" s="30"/>
      <c r="J48" s="30"/>
      <c r="K48" s="30"/>
      <c r="L48" s="30"/>
      <c r="M48" s="30"/>
      <c r="N48" s="240"/>
      <c r="O48" s="240"/>
      <c r="P48" s="30"/>
      <c r="Q48" s="30"/>
      <c r="R48" s="30"/>
      <c r="S48" s="30"/>
      <c r="T48" s="30"/>
      <c r="U48" s="240"/>
      <c r="V48" s="240"/>
      <c r="W48" s="30"/>
      <c r="X48" s="30"/>
      <c r="Y48" s="30"/>
      <c r="Z48" s="30"/>
      <c r="AA48" s="30"/>
      <c r="AB48" s="240"/>
      <c r="AC48" s="240"/>
      <c r="AD48" s="30"/>
      <c r="AE48" s="30"/>
      <c r="AF48" s="30"/>
      <c r="AG48" s="30"/>
      <c r="AH48" s="30"/>
      <c r="AI48" s="240"/>
      <c r="AJ48" s="240"/>
      <c r="AK48" s="83">
        <f t="shared" si="11"/>
        <v>0</v>
      </c>
      <c r="AL48" s="215">
        <f t="shared" si="10"/>
        <v>0</v>
      </c>
      <c r="AM48" s="219"/>
      <c r="AN48" s="16"/>
    </row>
    <row r="49" spans="1:41" ht="35.1" customHeight="1" x14ac:dyDescent="0.25">
      <c r="A49" s="52"/>
      <c r="B49" s="6" t="s">
        <v>35</v>
      </c>
      <c r="C49" s="44" t="s">
        <v>38</v>
      </c>
      <c r="D49" s="40"/>
      <c r="E49" s="73" t="s">
        <v>23</v>
      </c>
      <c r="F49" s="30"/>
      <c r="G49" s="240"/>
      <c r="H49" s="240"/>
      <c r="I49" s="30"/>
      <c r="J49" s="30"/>
      <c r="K49" s="30"/>
      <c r="L49" s="30"/>
      <c r="M49" s="30"/>
      <c r="N49" s="240"/>
      <c r="O49" s="240"/>
      <c r="P49" s="30"/>
      <c r="Q49" s="30"/>
      <c r="R49" s="30"/>
      <c r="S49" s="30"/>
      <c r="T49" s="30"/>
      <c r="U49" s="240"/>
      <c r="V49" s="240"/>
      <c r="W49" s="30"/>
      <c r="X49" s="30"/>
      <c r="Y49" s="30"/>
      <c r="Z49" s="30"/>
      <c r="AA49" s="30"/>
      <c r="AB49" s="240"/>
      <c r="AC49" s="240"/>
      <c r="AD49" s="30"/>
      <c r="AE49" s="30"/>
      <c r="AF49" s="30"/>
      <c r="AG49" s="30"/>
      <c r="AH49" s="30"/>
      <c r="AI49" s="240"/>
      <c r="AJ49" s="240"/>
      <c r="AK49" s="83">
        <f t="shared" si="11"/>
        <v>0</v>
      </c>
      <c r="AL49" s="215">
        <f t="shared" si="10"/>
        <v>0</v>
      </c>
      <c r="AM49" s="219"/>
      <c r="AN49" s="16"/>
    </row>
    <row r="50" spans="1:41" ht="35.1" customHeight="1" thickBot="1" x14ac:dyDescent="0.3">
      <c r="A50" s="94"/>
      <c r="B50" s="48" t="s">
        <v>35</v>
      </c>
      <c r="C50" s="45" t="s">
        <v>38</v>
      </c>
      <c r="D50" s="41"/>
      <c r="E50" s="74" t="s">
        <v>23</v>
      </c>
      <c r="F50" s="31"/>
      <c r="G50" s="259"/>
      <c r="H50" s="259"/>
      <c r="I50" s="31"/>
      <c r="J50" s="31"/>
      <c r="K50" s="31"/>
      <c r="L50" s="31"/>
      <c r="M50" s="31"/>
      <c r="N50" s="259"/>
      <c r="O50" s="259"/>
      <c r="P50" s="31"/>
      <c r="Q50" s="31"/>
      <c r="R50" s="31"/>
      <c r="S50" s="31"/>
      <c r="T50" s="31"/>
      <c r="U50" s="259"/>
      <c r="V50" s="259"/>
      <c r="W50" s="31"/>
      <c r="X50" s="31"/>
      <c r="Y50" s="31"/>
      <c r="Z50" s="31"/>
      <c r="AA50" s="31"/>
      <c r="AB50" s="259"/>
      <c r="AC50" s="259"/>
      <c r="AD50" s="31"/>
      <c r="AE50" s="31"/>
      <c r="AF50" s="31"/>
      <c r="AG50" s="31"/>
      <c r="AH50" s="31"/>
      <c r="AI50" s="259"/>
      <c r="AJ50" s="259"/>
      <c r="AK50" s="105">
        <f t="shared" si="11"/>
        <v>0</v>
      </c>
      <c r="AL50" s="216">
        <f t="shared" si="10"/>
        <v>0</v>
      </c>
      <c r="AM50" s="242"/>
      <c r="AN50" s="19"/>
    </row>
    <row r="51" spans="1:41" ht="24.75" customHeight="1" thickBot="1" x14ac:dyDescent="0.3">
      <c r="A51" s="394" t="s">
        <v>24</v>
      </c>
      <c r="B51" s="395"/>
      <c r="C51" s="395"/>
      <c r="D51" s="395"/>
      <c r="E51" s="396"/>
      <c r="F51" s="85">
        <f>COUNT(F40:F50)</f>
        <v>4</v>
      </c>
      <c r="G51" s="66">
        <f t="shared" ref="G51:AJ51" si="13">COUNT(G40:G50)</f>
        <v>4</v>
      </c>
      <c r="H51" s="66">
        <f t="shared" si="13"/>
        <v>2</v>
      </c>
      <c r="I51" s="66">
        <f t="shared" si="13"/>
        <v>2</v>
      </c>
      <c r="J51" s="66">
        <f t="shared" si="13"/>
        <v>5</v>
      </c>
      <c r="K51" s="66">
        <f t="shared" si="13"/>
        <v>4</v>
      </c>
      <c r="L51" s="66">
        <f t="shared" si="13"/>
        <v>2</v>
      </c>
      <c r="M51" s="66">
        <f t="shared" si="13"/>
        <v>2</v>
      </c>
      <c r="N51" s="66">
        <f t="shared" si="13"/>
        <v>4</v>
      </c>
      <c r="O51" s="66">
        <f t="shared" si="13"/>
        <v>3</v>
      </c>
      <c r="P51" s="66">
        <f t="shared" si="13"/>
        <v>2</v>
      </c>
      <c r="Q51" s="66">
        <f t="shared" si="13"/>
        <v>2</v>
      </c>
      <c r="R51" s="66">
        <f t="shared" si="13"/>
        <v>4</v>
      </c>
      <c r="S51" s="66">
        <f t="shared" si="13"/>
        <v>4</v>
      </c>
      <c r="T51" s="66">
        <f t="shared" si="13"/>
        <v>1</v>
      </c>
      <c r="U51" s="66">
        <f t="shared" si="13"/>
        <v>0</v>
      </c>
      <c r="V51" s="66">
        <f t="shared" si="13"/>
        <v>3</v>
      </c>
      <c r="W51" s="66">
        <f t="shared" si="13"/>
        <v>3</v>
      </c>
      <c r="X51" s="66">
        <f t="shared" si="13"/>
        <v>2</v>
      </c>
      <c r="Y51" s="66">
        <f t="shared" si="13"/>
        <v>2</v>
      </c>
      <c r="Z51" s="66">
        <f t="shared" si="13"/>
        <v>4</v>
      </c>
      <c r="AA51" s="66">
        <f t="shared" si="13"/>
        <v>3</v>
      </c>
      <c r="AB51" s="66">
        <f t="shared" si="13"/>
        <v>2</v>
      </c>
      <c r="AC51" s="66">
        <f t="shared" si="13"/>
        <v>2</v>
      </c>
      <c r="AD51" s="66">
        <f t="shared" si="13"/>
        <v>3</v>
      </c>
      <c r="AE51" s="66">
        <f t="shared" si="13"/>
        <v>3</v>
      </c>
      <c r="AF51" s="66">
        <f t="shared" si="13"/>
        <v>2</v>
      </c>
      <c r="AG51" s="66">
        <f t="shared" si="13"/>
        <v>2</v>
      </c>
      <c r="AH51" s="66">
        <f t="shared" si="13"/>
        <v>2</v>
      </c>
      <c r="AI51" s="66">
        <f t="shared" si="13"/>
        <v>3</v>
      </c>
      <c r="AJ51" s="87">
        <f t="shared" si="13"/>
        <v>3</v>
      </c>
      <c r="AK51" s="107">
        <f>SUM(AK40:AK50)</f>
        <v>829</v>
      </c>
      <c r="AL51" s="67">
        <f>SUM(AL40:AL50)</f>
        <v>83</v>
      </c>
      <c r="AM51" s="312">
        <f>AN51-AM40-AM41-AM42-AM43-AM44</f>
        <v>321201.666667388</v>
      </c>
      <c r="AN51" s="308">
        <v>636000</v>
      </c>
    </row>
    <row r="52" spans="1:41" ht="39.75" customHeight="1" thickBot="1" x14ac:dyDescent="0.3">
      <c r="A52" s="384" t="s">
        <v>192</v>
      </c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6"/>
      <c r="AN52" s="16"/>
    </row>
    <row r="53" spans="1:41" ht="35.1" customHeight="1" x14ac:dyDescent="0.25">
      <c r="A53" s="69">
        <v>28</v>
      </c>
      <c r="B53" s="103" t="s">
        <v>50</v>
      </c>
      <c r="C53" s="104" t="s">
        <v>51</v>
      </c>
      <c r="D53" s="112" t="s">
        <v>52</v>
      </c>
      <c r="E53" s="91" t="s">
        <v>2</v>
      </c>
      <c r="F53" s="23">
        <v>8</v>
      </c>
      <c r="G53" s="63"/>
      <c r="H53" s="63"/>
      <c r="I53" s="24">
        <v>8</v>
      </c>
      <c r="J53" s="24">
        <v>8</v>
      </c>
      <c r="K53" s="24">
        <v>8</v>
      </c>
      <c r="L53" s="24">
        <v>8</v>
      </c>
      <c r="M53" s="24">
        <v>8</v>
      </c>
      <c r="N53" s="239"/>
      <c r="O53" s="239"/>
      <c r="P53" s="24">
        <v>8</v>
      </c>
      <c r="Q53" s="24">
        <v>8</v>
      </c>
      <c r="R53" s="24">
        <v>8</v>
      </c>
      <c r="S53" s="24">
        <v>8</v>
      </c>
      <c r="T53" s="24">
        <v>8</v>
      </c>
      <c r="U53" s="239"/>
      <c r="V53" s="239"/>
      <c r="W53" s="24">
        <v>8</v>
      </c>
      <c r="X53" s="24">
        <v>8</v>
      </c>
      <c r="Y53" s="24">
        <v>8</v>
      </c>
      <c r="Z53" s="24">
        <v>8</v>
      </c>
      <c r="AA53" s="24">
        <v>8</v>
      </c>
      <c r="AB53" s="239"/>
      <c r="AC53" s="239"/>
      <c r="AD53" s="24">
        <v>8</v>
      </c>
      <c r="AE53" s="24">
        <v>8</v>
      </c>
      <c r="AF53" s="24">
        <v>8</v>
      </c>
      <c r="AG53" s="24">
        <v>8</v>
      </c>
      <c r="AH53" s="24">
        <v>8</v>
      </c>
      <c r="AI53" s="239"/>
      <c r="AJ53" s="239"/>
      <c r="AK53" s="83">
        <f t="shared" ref="AK53" si="14">SUM(F53:AJ53)</f>
        <v>168</v>
      </c>
      <c r="AL53" s="215">
        <f t="shared" ref="AL53" si="15">AK53/8</f>
        <v>21</v>
      </c>
      <c r="AM53" s="245">
        <f>AK53*535.714285713</f>
        <v>89999.999999783991</v>
      </c>
      <c r="AN53" s="15" t="s">
        <v>124</v>
      </c>
    </row>
    <row r="54" spans="1:41" ht="35.1" customHeight="1" x14ac:dyDescent="0.25">
      <c r="A54" s="69">
        <v>29</v>
      </c>
      <c r="B54" s="49" t="s">
        <v>113</v>
      </c>
      <c r="C54" s="33" t="s">
        <v>54</v>
      </c>
      <c r="D54" s="113" t="s">
        <v>114</v>
      </c>
      <c r="E54" s="73" t="s">
        <v>23</v>
      </c>
      <c r="F54" s="27">
        <v>11</v>
      </c>
      <c r="G54" s="27">
        <v>11</v>
      </c>
      <c r="H54" s="210"/>
      <c r="I54" s="28"/>
      <c r="J54" s="27">
        <v>11</v>
      </c>
      <c r="K54" s="27">
        <v>11</v>
      </c>
      <c r="L54" s="28"/>
      <c r="M54" s="28"/>
      <c r="N54" s="27">
        <v>11</v>
      </c>
      <c r="O54" s="27">
        <v>11</v>
      </c>
      <c r="P54" s="28"/>
      <c r="Q54" s="28"/>
      <c r="R54" s="27">
        <v>11</v>
      </c>
      <c r="S54" s="27">
        <v>11</v>
      </c>
      <c r="T54" s="28"/>
      <c r="U54" s="210"/>
      <c r="V54" s="27">
        <v>11</v>
      </c>
      <c r="W54" s="27">
        <v>11</v>
      </c>
      <c r="X54" s="28"/>
      <c r="Y54" s="28"/>
      <c r="Z54" s="27">
        <v>11</v>
      </c>
      <c r="AA54" s="27">
        <v>11</v>
      </c>
      <c r="AB54" s="210"/>
      <c r="AC54" s="210"/>
      <c r="AD54" s="27">
        <v>11</v>
      </c>
      <c r="AE54" s="27">
        <v>11</v>
      </c>
      <c r="AF54" s="28"/>
      <c r="AG54" s="28"/>
      <c r="AH54" s="27">
        <v>11</v>
      </c>
      <c r="AI54" s="322" t="s">
        <v>223</v>
      </c>
      <c r="AJ54" s="322" t="s">
        <v>223</v>
      </c>
      <c r="AK54" s="83">
        <f>SUM(F54:AJ54)</f>
        <v>165</v>
      </c>
      <c r="AL54" s="215">
        <f t="shared" ref="AL54:AL60" si="16">AK54/11</f>
        <v>15</v>
      </c>
      <c r="AM54" s="243">
        <f>AK54*321.59090909</f>
        <v>53062.499999850006</v>
      </c>
      <c r="AN54" s="15" t="s">
        <v>124</v>
      </c>
      <c r="AO54" s="279"/>
    </row>
    <row r="55" spans="1:41" ht="35.1" customHeight="1" x14ac:dyDescent="0.25">
      <c r="A55" s="69">
        <v>30</v>
      </c>
      <c r="B55" s="49" t="s">
        <v>120</v>
      </c>
      <c r="C55" s="33" t="s">
        <v>54</v>
      </c>
      <c r="D55" s="113" t="s">
        <v>121</v>
      </c>
      <c r="E55" s="73" t="s">
        <v>23</v>
      </c>
      <c r="F55" s="28"/>
      <c r="G55" s="210"/>
      <c r="H55" s="27">
        <v>11</v>
      </c>
      <c r="I55" s="27">
        <v>11</v>
      </c>
      <c r="J55" s="28"/>
      <c r="K55" s="28"/>
      <c r="L55" s="27">
        <v>11</v>
      </c>
      <c r="M55" s="27">
        <v>11</v>
      </c>
      <c r="N55" s="210"/>
      <c r="O55" s="210"/>
      <c r="P55" s="27">
        <v>11</v>
      </c>
      <c r="Q55" s="27">
        <v>11</v>
      </c>
      <c r="R55" s="28"/>
      <c r="S55" s="28"/>
      <c r="T55" s="27">
        <v>11</v>
      </c>
      <c r="U55" s="27">
        <v>11</v>
      </c>
      <c r="V55" s="210"/>
      <c r="W55" s="28"/>
      <c r="X55" s="27">
        <v>11</v>
      </c>
      <c r="Y55" s="27">
        <v>11</v>
      </c>
      <c r="Z55" s="28"/>
      <c r="AA55" s="28"/>
      <c r="AB55" s="27">
        <v>11</v>
      </c>
      <c r="AC55" s="27">
        <v>11</v>
      </c>
      <c r="AD55" s="28"/>
      <c r="AE55" s="28"/>
      <c r="AF55" s="27">
        <v>11</v>
      </c>
      <c r="AG55" s="27">
        <v>11</v>
      </c>
      <c r="AH55" s="28"/>
      <c r="AI55" s="210"/>
      <c r="AJ55" s="27">
        <v>11</v>
      </c>
      <c r="AK55" s="83">
        <f t="shared" ref="AK55:AK60" si="17">SUM(F55:AJ55)</f>
        <v>165</v>
      </c>
      <c r="AL55" s="215">
        <f t="shared" si="16"/>
        <v>15</v>
      </c>
      <c r="AM55" s="243">
        <f>AK55*343.03030303</f>
        <v>56599.999999950007</v>
      </c>
      <c r="AN55" s="15" t="s">
        <v>124</v>
      </c>
      <c r="AO55" s="5"/>
    </row>
    <row r="56" spans="1:41" ht="35.1" customHeight="1" x14ac:dyDescent="0.25">
      <c r="A56" s="69">
        <v>31</v>
      </c>
      <c r="B56" s="49" t="s">
        <v>133</v>
      </c>
      <c r="C56" s="33" t="s">
        <v>54</v>
      </c>
      <c r="D56" s="113" t="s">
        <v>134</v>
      </c>
      <c r="E56" s="73" t="s">
        <v>23</v>
      </c>
      <c r="F56" s="27">
        <v>11</v>
      </c>
      <c r="G56" s="27">
        <v>11</v>
      </c>
      <c r="H56" s="210"/>
      <c r="I56" s="28"/>
      <c r="J56" s="27">
        <v>11</v>
      </c>
      <c r="K56" s="27">
        <v>11</v>
      </c>
      <c r="L56" s="28"/>
      <c r="M56" s="28"/>
      <c r="N56" s="27">
        <v>11</v>
      </c>
      <c r="O56" s="27">
        <v>11</v>
      </c>
      <c r="P56" s="28"/>
      <c r="Q56" s="28"/>
      <c r="R56" s="27">
        <v>11</v>
      </c>
      <c r="S56" s="27">
        <v>11</v>
      </c>
      <c r="T56" s="28"/>
      <c r="U56" s="210"/>
      <c r="V56" s="27">
        <v>11</v>
      </c>
      <c r="W56" s="27">
        <v>11</v>
      </c>
      <c r="X56" s="28"/>
      <c r="Y56" s="28"/>
      <c r="Z56" s="27">
        <v>11</v>
      </c>
      <c r="AA56" s="27">
        <v>11</v>
      </c>
      <c r="AB56" s="210"/>
      <c r="AC56" s="210"/>
      <c r="AD56" s="27">
        <v>11</v>
      </c>
      <c r="AE56" s="27">
        <v>11</v>
      </c>
      <c r="AF56" s="28"/>
      <c r="AG56" s="28"/>
      <c r="AH56" s="27">
        <v>11</v>
      </c>
      <c r="AI56" s="27">
        <v>11</v>
      </c>
      <c r="AJ56" s="210"/>
      <c r="AK56" s="83">
        <f t="shared" si="17"/>
        <v>176</v>
      </c>
      <c r="AL56" s="215">
        <f t="shared" si="16"/>
        <v>16</v>
      </c>
      <c r="AM56" s="243">
        <f>AK56*321.59090909</f>
        <v>56599.999999840002</v>
      </c>
      <c r="AN56" s="15"/>
    </row>
    <row r="57" spans="1:41" ht="35.1" customHeight="1" x14ac:dyDescent="0.25">
      <c r="A57" s="69">
        <v>32</v>
      </c>
      <c r="B57" s="49" t="s">
        <v>149</v>
      </c>
      <c r="C57" s="33" t="s">
        <v>54</v>
      </c>
      <c r="D57" s="113" t="s">
        <v>148</v>
      </c>
      <c r="E57" s="73" t="s">
        <v>23</v>
      </c>
      <c r="F57" s="27">
        <v>11</v>
      </c>
      <c r="G57" s="27">
        <v>11</v>
      </c>
      <c r="H57" s="210"/>
      <c r="I57" s="28"/>
      <c r="J57" s="27">
        <v>11</v>
      </c>
      <c r="K57" s="27">
        <v>11</v>
      </c>
      <c r="L57" s="28"/>
      <c r="M57" s="28"/>
      <c r="N57" s="27">
        <v>11</v>
      </c>
      <c r="O57" s="27">
        <v>11</v>
      </c>
      <c r="P57" s="28"/>
      <c r="Q57" s="28"/>
      <c r="R57" s="27">
        <v>11</v>
      </c>
      <c r="S57" s="27">
        <v>11</v>
      </c>
      <c r="T57" s="28"/>
      <c r="U57" s="210"/>
      <c r="V57" s="27">
        <v>11</v>
      </c>
      <c r="W57" s="27">
        <v>11</v>
      </c>
      <c r="X57" s="28"/>
      <c r="Y57" s="28"/>
      <c r="Z57" s="27">
        <v>11</v>
      </c>
      <c r="AA57" s="27">
        <v>11</v>
      </c>
      <c r="AB57" s="210"/>
      <c r="AC57" s="210"/>
      <c r="AD57" s="27">
        <v>11</v>
      </c>
      <c r="AE57" s="27">
        <v>11</v>
      </c>
      <c r="AF57" s="28"/>
      <c r="AG57" s="28"/>
      <c r="AH57" s="27">
        <v>11</v>
      </c>
      <c r="AI57" s="27">
        <v>11</v>
      </c>
      <c r="AJ57" s="210"/>
      <c r="AK57" s="83">
        <f t="shared" si="17"/>
        <v>176</v>
      </c>
      <c r="AL57" s="215">
        <f t="shared" si="16"/>
        <v>16</v>
      </c>
      <c r="AM57" s="243">
        <f>AK57*321.59090909</f>
        <v>56599.999999840002</v>
      </c>
      <c r="AN57" s="15"/>
    </row>
    <row r="58" spans="1:41" ht="35.1" customHeight="1" x14ac:dyDescent="0.25">
      <c r="A58" s="69">
        <v>33</v>
      </c>
      <c r="B58" s="49" t="s">
        <v>210</v>
      </c>
      <c r="C58" s="33" t="s">
        <v>54</v>
      </c>
      <c r="D58" s="113" t="s">
        <v>212</v>
      </c>
      <c r="E58" s="73" t="s">
        <v>23</v>
      </c>
      <c r="F58" s="28"/>
      <c r="G58" s="210"/>
      <c r="H58" s="27">
        <v>11</v>
      </c>
      <c r="I58" s="27">
        <v>11</v>
      </c>
      <c r="J58" s="28"/>
      <c r="K58" s="28"/>
      <c r="L58" s="27">
        <v>11</v>
      </c>
      <c r="M58" s="27">
        <v>11</v>
      </c>
      <c r="N58" s="210"/>
      <c r="O58" s="210"/>
      <c r="P58" s="27">
        <v>11</v>
      </c>
      <c r="Q58" s="27">
        <v>11</v>
      </c>
      <c r="R58" s="213">
        <v>24</v>
      </c>
      <c r="S58" s="28"/>
      <c r="T58" s="27">
        <v>11</v>
      </c>
      <c r="U58" s="27">
        <v>11</v>
      </c>
      <c r="V58" s="213">
        <v>24</v>
      </c>
      <c r="W58" s="28"/>
      <c r="X58" s="27">
        <v>11</v>
      </c>
      <c r="Y58" s="27">
        <v>11</v>
      </c>
      <c r="Z58" s="213">
        <v>24</v>
      </c>
      <c r="AA58" s="28"/>
      <c r="AB58" s="27">
        <v>11</v>
      </c>
      <c r="AC58" s="27">
        <v>11</v>
      </c>
      <c r="AD58" s="213">
        <v>24</v>
      </c>
      <c r="AE58" s="28"/>
      <c r="AF58" s="27">
        <v>11</v>
      </c>
      <c r="AG58" s="27">
        <v>11</v>
      </c>
      <c r="AH58" s="28"/>
      <c r="AI58" s="210"/>
      <c r="AJ58" s="27">
        <v>11</v>
      </c>
      <c r="AK58" s="83">
        <f t="shared" si="17"/>
        <v>261</v>
      </c>
      <c r="AL58" s="215">
        <f>AK58/11</f>
        <v>23.727272727272727</v>
      </c>
      <c r="AM58" s="243">
        <f>AK58*343.03030303</f>
        <v>89530.909090830013</v>
      </c>
      <c r="AN58" s="15" t="s">
        <v>124</v>
      </c>
    </row>
    <row r="59" spans="1:41" ht="35.1" customHeight="1" x14ac:dyDescent="0.25">
      <c r="A59" s="52"/>
      <c r="B59" s="49" t="s">
        <v>35</v>
      </c>
      <c r="C59" s="33" t="s">
        <v>54</v>
      </c>
      <c r="D59" s="113"/>
      <c r="E59" s="73" t="s">
        <v>23</v>
      </c>
      <c r="F59" s="28"/>
      <c r="G59" s="210"/>
      <c r="H59" s="210"/>
      <c r="I59" s="28"/>
      <c r="J59" s="28"/>
      <c r="K59" s="28"/>
      <c r="L59" s="28"/>
      <c r="M59" s="28"/>
      <c r="N59" s="210"/>
      <c r="O59" s="210"/>
      <c r="P59" s="28"/>
      <c r="Q59" s="28"/>
      <c r="R59" s="28"/>
      <c r="S59" s="28"/>
      <c r="T59" s="28"/>
      <c r="U59" s="210"/>
      <c r="V59" s="210"/>
      <c r="W59" s="28"/>
      <c r="X59" s="28"/>
      <c r="Y59" s="28"/>
      <c r="Z59" s="28"/>
      <c r="AA59" s="28"/>
      <c r="AB59" s="210"/>
      <c r="AC59" s="210"/>
      <c r="AD59" s="28"/>
      <c r="AE59" s="28"/>
      <c r="AF59" s="28"/>
      <c r="AG59" s="28"/>
      <c r="AH59" s="28"/>
      <c r="AI59" s="210"/>
      <c r="AJ59" s="210"/>
      <c r="AK59" s="83">
        <f t="shared" si="17"/>
        <v>0</v>
      </c>
      <c r="AL59" s="215">
        <f t="shared" si="16"/>
        <v>0</v>
      </c>
      <c r="AM59" s="219"/>
      <c r="AN59" s="17" t="s">
        <v>211</v>
      </c>
    </row>
    <row r="60" spans="1:41" ht="35.1" customHeight="1" thickBot="1" x14ac:dyDescent="0.3">
      <c r="A60" s="94"/>
      <c r="B60" s="108" t="s">
        <v>35</v>
      </c>
      <c r="C60" s="109" t="s">
        <v>54</v>
      </c>
      <c r="D60" s="114"/>
      <c r="E60" s="74" t="s">
        <v>23</v>
      </c>
      <c r="F60" s="32"/>
      <c r="G60" s="261"/>
      <c r="H60" s="261"/>
      <c r="I60" s="32"/>
      <c r="J60" s="32"/>
      <c r="K60" s="32"/>
      <c r="L60" s="32"/>
      <c r="M60" s="32"/>
      <c r="N60" s="261"/>
      <c r="O60" s="261"/>
      <c r="P60" s="32"/>
      <c r="Q60" s="32"/>
      <c r="R60" s="32"/>
      <c r="S60" s="32"/>
      <c r="T60" s="32"/>
      <c r="U60" s="261"/>
      <c r="V60" s="261"/>
      <c r="W60" s="32"/>
      <c r="X60" s="32"/>
      <c r="Y60" s="32"/>
      <c r="Z60" s="32"/>
      <c r="AA60" s="32"/>
      <c r="AB60" s="261"/>
      <c r="AC60" s="261"/>
      <c r="AD60" s="32"/>
      <c r="AE60" s="32"/>
      <c r="AF60" s="32"/>
      <c r="AG60" s="32"/>
      <c r="AH60" s="32"/>
      <c r="AI60" s="261"/>
      <c r="AJ60" s="261"/>
      <c r="AK60" s="105">
        <f t="shared" si="17"/>
        <v>0</v>
      </c>
      <c r="AL60" s="216">
        <f t="shared" si="16"/>
        <v>0</v>
      </c>
      <c r="AM60" s="242"/>
      <c r="AN60" s="20"/>
    </row>
    <row r="61" spans="1:41" ht="21.75" customHeight="1" thickBot="1" x14ac:dyDescent="0.3">
      <c r="A61" s="387" t="s">
        <v>24</v>
      </c>
      <c r="B61" s="388"/>
      <c r="C61" s="388"/>
      <c r="D61" s="388"/>
      <c r="E61" s="388"/>
      <c r="F61" s="85">
        <f>COUNT(F53:F60)</f>
        <v>4</v>
      </c>
      <c r="G61" s="66">
        <f t="shared" ref="G61:AJ61" si="18">COUNT(G53:G60)</f>
        <v>3</v>
      </c>
      <c r="H61" s="66">
        <f t="shared" si="18"/>
        <v>2</v>
      </c>
      <c r="I61" s="66">
        <f t="shared" si="18"/>
        <v>3</v>
      </c>
      <c r="J61" s="66">
        <f t="shared" si="18"/>
        <v>4</v>
      </c>
      <c r="K61" s="66">
        <f t="shared" si="18"/>
        <v>4</v>
      </c>
      <c r="L61" s="66">
        <f t="shared" si="18"/>
        <v>3</v>
      </c>
      <c r="M61" s="66">
        <f t="shared" si="18"/>
        <v>3</v>
      </c>
      <c r="N61" s="66">
        <f t="shared" si="18"/>
        <v>3</v>
      </c>
      <c r="O61" s="66">
        <f t="shared" si="18"/>
        <v>3</v>
      </c>
      <c r="P61" s="66">
        <f t="shared" si="18"/>
        <v>3</v>
      </c>
      <c r="Q61" s="66">
        <f t="shared" si="18"/>
        <v>3</v>
      </c>
      <c r="R61" s="66">
        <f t="shared" si="18"/>
        <v>5</v>
      </c>
      <c r="S61" s="66">
        <f t="shared" si="18"/>
        <v>4</v>
      </c>
      <c r="T61" s="66">
        <f t="shared" si="18"/>
        <v>3</v>
      </c>
      <c r="U61" s="66">
        <f t="shared" si="18"/>
        <v>2</v>
      </c>
      <c r="V61" s="66">
        <f t="shared" si="18"/>
        <v>4</v>
      </c>
      <c r="W61" s="66">
        <f t="shared" si="18"/>
        <v>4</v>
      </c>
      <c r="X61" s="66">
        <f t="shared" si="18"/>
        <v>3</v>
      </c>
      <c r="Y61" s="66">
        <f t="shared" si="18"/>
        <v>3</v>
      </c>
      <c r="Z61" s="66">
        <f t="shared" si="18"/>
        <v>5</v>
      </c>
      <c r="AA61" s="66">
        <f t="shared" si="18"/>
        <v>4</v>
      </c>
      <c r="AB61" s="66">
        <f t="shared" si="18"/>
        <v>2</v>
      </c>
      <c r="AC61" s="66">
        <f t="shared" si="18"/>
        <v>2</v>
      </c>
      <c r="AD61" s="66">
        <f t="shared" si="18"/>
        <v>5</v>
      </c>
      <c r="AE61" s="66">
        <f t="shared" si="18"/>
        <v>4</v>
      </c>
      <c r="AF61" s="66">
        <f t="shared" si="18"/>
        <v>3</v>
      </c>
      <c r="AG61" s="66">
        <f t="shared" si="18"/>
        <v>3</v>
      </c>
      <c r="AH61" s="66">
        <f t="shared" si="18"/>
        <v>4</v>
      </c>
      <c r="AI61" s="66">
        <f t="shared" si="18"/>
        <v>2</v>
      </c>
      <c r="AJ61" s="87">
        <f t="shared" si="18"/>
        <v>2</v>
      </c>
      <c r="AK61" s="107">
        <f>SUM(AK53:AK60)</f>
        <v>1111</v>
      </c>
      <c r="AL61" s="67">
        <f>SUM(AL53:AL60)</f>
        <v>106.72727272727272</v>
      </c>
      <c r="AM61" s="312">
        <f>AN61-AM53-AM54-AM55-AM56-AM57-AM58</f>
        <v>63806.590909906023</v>
      </c>
      <c r="AN61" s="308">
        <v>466200</v>
      </c>
    </row>
    <row r="62" spans="1:41" ht="41.25" customHeight="1" thickBot="1" x14ac:dyDescent="0.3">
      <c r="A62" s="378" t="s">
        <v>193</v>
      </c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79"/>
      <c r="AI62" s="379"/>
      <c r="AJ62" s="379"/>
      <c r="AK62" s="379"/>
      <c r="AL62" s="379"/>
      <c r="AM62" s="380"/>
      <c r="AN62" s="16"/>
    </row>
    <row r="63" spans="1:41" ht="35.1" customHeight="1" thickBot="1" x14ac:dyDescent="0.3">
      <c r="A63" s="262">
        <v>34</v>
      </c>
      <c r="B63" s="263" t="s">
        <v>57</v>
      </c>
      <c r="C63" s="264" t="s">
        <v>58</v>
      </c>
      <c r="D63" s="265" t="s">
        <v>59</v>
      </c>
      <c r="E63" s="266" t="s">
        <v>2</v>
      </c>
      <c r="F63" s="298" t="s">
        <v>170</v>
      </c>
      <c r="G63" s="298" t="s">
        <v>170</v>
      </c>
      <c r="H63" s="298" t="s">
        <v>170</v>
      </c>
      <c r="I63" s="298" t="s">
        <v>170</v>
      </c>
      <c r="J63" s="298" t="s">
        <v>170</v>
      </c>
      <c r="K63" s="298" t="s">
        <v>170</v>
      </c>
      <c r="L63" s="298" t="s">
        <v>170</v>
      </c>
      <c r="M63" s="298" t="s">
        <v>170</v>
      </c>
      <c r="N63" s="298" t="s">
        <v>170</v>
      </c>
      <c r="O63" s="298" t="s">
        <v>170</v>
      </c>
      <c r="P63" s="298" t="s">
        <v>170</v>
      </c>
      <c r="Q63" s="298" t="s">
        <v>170</v>
      </c>
      <c r="R63" s="298" t="s">
        <v>170</v>
      </c>
      <c r="S63" s="298" t="s">
        <v>170</v>
      </c>
      <c r="T63" s="227">
        <v>8</v>
      </c>
      <c r="U63" s="228"/>
      <c r="V63" s="228"/>
      <c r="W63" s="227">
        <v>8</v>
      </c>
      <c r="X63" s="227">
        <v>8</v>
      </c>
      <c r="Y63" s="227">
        <v>8</v>
      </c>
      <c r="Z63" s="227">
        <v>8</v>
      </c>
      <c r="AA63" s="227">
        <v>8</v>
      </c>
      <c r="AB63" s="228"/>
      <c r="AC63" s="228"/>
      <c r="AD63" s="227">
        <v>8</v>
      </c>
      <c r="AE63" s="227">
        <v>8</v>
      </c>
      <c r="AF63" s="227">
        <v>8</v>
      </c>
      <c r="AG63" s="227">
        <v>8</v>
      </c>
      <c r="AH63" s="227">
        <v>8</v>
      </c>
      <c r="AI63" s="228"/>
      <c r="AJ63" s="228"/>
      <c r="AK63" s="105">
        <f t="shared" ref="AK63" si="19">SUM(F63:AJ63)</f>
        <v>88</v>
      </c>
      <c r="AL63" s="216">
        <f>AK63/8</f>
        <v>11</v>
      </c>
      <c r="AM63" s="267">
        <f>AL63*3095.23809523</f>
        <v>34047.619047530003</v>
      </c>
      <c r="AN63" s="21"/>
    </row>
    <row r="64" spans="1:41" ht="22.5" customHeight="1" thickBot="1" x14ac:dyDescent="0.3">
      <c r="A64" s="387" t="s">
        <v>24</v>
      </c>
      <c r="B64" s="388"/>
      <c r="C64" s="388"/>
      <c r="D64" s="388"/>
      <c r="E64" s="393"/>
      <c r="F64" s="268" t="str">
        <f t="shared" ref="F64:AF64" si="20">F63</f>
        <v>о</v>
      </c>
      <c r="G64" s="268" t="str">
        <f t="shared" si="20"/>
        <v>о</v>
      </c>
      <c r="H64" s="268" t="str">
        <f t="shared" si="20"/>
        <v>о</v>
      </c>
      <c r="I64" s="268" t="str">
        <f t="shared" si="20"/>
        <v>о</v>
      </c>
      <c r="J64" s="268" t="str">
        <f t="shared" si="20"/>
        <v>о</v>
      </c>
      <c r="K64" s="268" t="str">
        <f t="shared" si="20"/>
        <v>о</v>
      </c>
      <c r="L64" s="268" t="str">
        <f t="shared" si="20"/>
        <v>о</v>
      </c>
      <c r="M64" s="268" t="str">
        <f t="shared" si="20"/>
        <v>о</v>
      </c>
      <c r="N64" s="268" t="str">
        <f t="shared" si="20"/>
        <v>о</v>
      </c>
      <c r="O64" s="268" t="str">
        <f t="shared" si="20"/>
        <v>о</v>
      </c>
      <c r="P64" s="268" t="str">
        <f t="shared" si="20"/>
        <v>о</v>
      </c>
      <c r="Q64" s="268" t="str">
        <f t="shared" si="20"/>
        <v>о</v>
      </c>
      <c r="R64" s="268" t="str">
        <f t="shared" si="20"/>
        <v>о</v>
      </c>
      <c r="S64" s="268" t="str">
        <f t="shared" si="20"/>
        <v>о</v>
      </c>
      <c r="T64" s="268">
        <f t="shared" si="20"/>
        <v>8</v>
      </c>
      <c r="U64" s="268">
        <f t="shared" si="20"/>
        <v>0</v>
      </c>
      <c r="V64" s="268">
        <f t="shared" si="20"/>
        <v>0</v>
      </c>
      <c r="W64" s="268">
        <f t="shared" si="20"/>
        <v>8</v>
      </c>
      <c r="X64" s="268">
        <f t="shared" si="20"/>
        <v>8</v>
      </c>
      <c r="Y64" s="268">
        <f t="shared" si="20"/>
        <v>8</v>
      </c>
      <c r="Z64" s="268">
        <f t="shared" si="20"/>
        <v>8</v>
      </c>
      <c r="AA64" s="268">
        <f t="shared" si="20"/>
        <v>8</v>
      </c>
      <c r="AB64" s="268">
        <f t="shared" si="20"/>
        <v>0</v>
      </c>
      <c r="AC64" s="268">
        <f t="shared" si="20"/>
        <v>0</v>
      </c>
      <c r="AD64" s="268">
        <f t="shared" si="20"/>
        <v>8</v>
      </c>
      <c r="AE64" s="268">
        <f t="shared" si="20"/>
        <v>8</v>
      </c>
      <c r="AF64" s="268">
        <f t="shared" si="20"/>
        <v>8</v>
      </c>
      <c r="AG64" s="66">
        <v>0</v>
      </c>
      <c r="AH64" s="66">
        <v>0</v>
      </c>
      <c r="AI64" s="66">
        <v>0</v>
      </c>
      <c r="AJ64" s="67">
        <v>0</v>
      </c>
      <c r="AK64" s="85">
        <f>SUM(AK63)</f>
        <v>88</v>
      </c>
      <c r="AL64" s="269">
        <f>SUM(AL63)</f>
        <v>11</v>
      </c>
      <c r="AM64" s="281">
        <f>AN64-AM63</f>
        <v>30952.380952469997</v>
      </c>
      <c r="AN64" s="308">
        <v>65000</v>
      </c>
    </row>
    <row r="65" spans="1:41" ht="40.5" customHeight="1" thickBot="1" x14ac:dyDescent="0.3">
      <c r="A65" s="378" t="s">
        <v>194</v>
      </c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79"/>
      <c r="AI65" s="379"/>
      <c r="AJ65" s="379"/>
      <c r="AK65" s="379"/>
      <c r="AL65" s="379"/>
      <c r="AM65" s="380"/>
      <c r="AN65" s="16"/>
    </row>
    <row r="66" spans="1:41" ht="35.1" customHeight="1" x14ac:dyDescent="0.25">
      <c r="A66" s="69">
        <v>35</v>
      </c>
      <c r="B66" s="120" t="s">
        <v>105</v>
      </c>
      <c r="C66" s="121" t="s">
        <v>60</v>
      </c>
      <c r="D66" s="122" t="s">
        <v>61</v>
      </c>
      <c r="E66" s="123" t="s">
        <v>62</v>
      </c>
      <c r="F66" s="238"/>
      <c r="G66" s="24">
        <v>24</v>
      </c>
      <c r="H66" s="239"/>
      <c r="I66" s="25"/>
      <c r="J66" s="25"/>
      <c r="K66" s="24">
        <v>24</v>
      </c>
      <c r="L66" s="25"/>
      <c r="M66" s="25"/>
      <c r="N66" s="239"/>
      <c r="O66" s="24">
        <v>24</v>
      </c>
      <c r="P66" s="25"/>
      <c r="Q66" s="25"/>
      <c r="R66" s="25"/>
      <c r="S66" s="24">
        <v>24</v>
      </c>
      <c r="T66" s="300" t="s">
        <v>170</v>
      </c>
      <c r="U66" s="300" t="s">
        <v>170</v>
      </c>
      <c r="V66" s="300" t="s">
        <v>170</v>
      </c>
      <c r="W66" s="300" t="s">
        <v>170</v>
      </c>
      <c r="X66" s="300" t="s">
        <v>170</v>
      </c>
      <c r="Y66" s="300" t="s">
        <v>170</v>
      </c>
      <c r="Z66" s="300" t="s">
        <v>170</v>
      </c>
      <c r="AA66" s="300" t="s">
        <v>170</v>
      </c>
      <c r="AB66" s="300" t="s">
        <v>170</v>
      </c>
      <c r="AC66" s="300" t="s">
        <v>170</v>
      </c>
      <c r="AD66" s="300" t="s">
        <v>170</v>
      </c>
      <c r="AE66" s="300" t="s">
        <v>170</v>
      </c>
      <c r="AF66" s="300" t="s">
        <v>170</v>
      </c>
      <c r="AG66" s="300" t="s">
        <v>170</v>
      </c>
      <c r="AH66" s="25"/>
      <c r="AI66" s="24">
        <v>24</v>
      </c>
      <c r="AJ66" s="239"/>
      <c r="AK66" s="134">
        <f>SUM(F66:AJ66)</f>
        <v>120</v>
      </c>
      <c r="AL66" s="133">
        <f>SUM(AK66/24)</f>
        <v>5</v>
      </c>
      <c r="AM66" s="247">
        <f>AK66*338.541666666</f>
        <v>40624.999999920001</v>
      </c>
      <c r="AN66" s="15" t="s">
        <v>124</v>
      </c>
      <c r="AO66" s="1"/>
    </row>
    <row r="67" spans="1:41" ht="35.1" customHeight="1" x14ac:dyDescent="0.25">
      <c r="A67" s="69">
        <v>36</v>
      </c>
      <c r="B67" s="124" t="s">
        <v>63</v>
      </c>
      <c r="C67" s="128" t="s">
        <v>137</v>
      </c>
      <c r="D67" s="125" t="s">
        <v>64</v>
      </c>
      <c r="E67" s="126" t="s">
        <v>62</v>
      </c>
      <c r="F67" s="30"/>
      <c r="G67" s="26">
        <v>24</v>
      </c>
      <c r="H67" s="240"/>
      <c r="I67" s="30"/>
      <c r="J67" s="30"/>
      <c r="K67" s="26">
        <v>24</v>
      </c>
      <c r="L67" s="30"/>
      <c r="M67" s="30"/>
      <c r="N67" s="240"/>
      <c r="O67" s="26">
        <v>24</v>
      </c>
      <c r="P67" s="30"/>
      <c r="Q67" s="30"/>
      <c r="R67" s="30"/>
      <c r="S67" s="26">
        <v>24</v>
      </c>
      <c r="T67" s="30"/>
      <c r="U67" s="240"/>
      <c r="V67" s="240"/>
      <c r="W67" s="26">
        <v>24</v>
      </c>
      <c r="X67" s="30"/>
      <c r="Y67" s="30"/>
      <c r="Z67" s="30"/>
      <c r="AA67" s="26">
        <v>24</v>
      </c>
      <c r="AB67" s="240"/>
      <c r="AC67" s="240"/>
      <c r="AD67" s="30"/>
      <c r="AE67" s="26">
        <v>24</v>
      </c>
      <c r="AF67" s="30"/>
      <c r="AG67" s="30"/>
      <c r="AH67" s="30"/>
      <c r="AI67" s="26">
        <v>24</v>
      </c>
      <c r="AJ67" s="240"/>
      <c r="AK67" s="134">
        <f t="shared" ref="AK67:AK70" si="21">SUM(F67:AJ67)</f>
        <v>192</v>
      </c>
      <c r="AL67" s="133">
        <f t="shared" ref="AL67:AL70" si="22">SUM(AK67/24)</f>
        <v>8</v>
      </c>
      <c r="AM67" s="248">
        <f>AK67*260.416666666</f>
        <v>49999.999999872001</v>
      </c>
      <c r="AN67" s="15" t="s">
        <v>124</v>
      </c>
      <c r="AO67" s="1"/>
    </row>
    <row r="68" spans="1:41" ht="35.1" customHeight="1" x14ac:dyDescent="0.25">
      <c r="A68" s="69">
        <v>37</v>
      </c>
      <c r="B68" s="124" t="s">
        <v>21</v>
      </c>
      <c r="C68" s="128" t="s">
        <v>137</v>
      </c>
      <c r="D68" s="127" t="s">
        <v>22</v>
      </c>
      <c r="E68" s="126" t="s">
        <v>62</v>
      </c>
      <c r="F68" s="30"/>
      <c r="G68" s="26">
        <v>24</v>
      </c>
      <c r="H68" s="240"/>
      <c r="I68" s="30"/>
      <c r="J68" s="30"/>
      <c r="K68" s="26">
        <v>24</v>
      </c>
      <c r="L68" s="30"/>
      <c r="M68" s="30"/>
      <c r="N68" s="240"/>
      <c r="O68" s="26">
        <v>24</v>
      </c>
      <c r="P68" s="30"/>
      <c r="Q68" s="30"/>
      <c r="R68" s="30"/>
      <c r="S68" s="26">
        <v>24</v>
      </c>
      <c r="T68" s="30"/>
      <c r="U68" s="240"/>
      <c r="V68" s="240"/>
      <c r="W68" s="285" t="s">
        <v>172</v>
      </c>
      <c r="X68" s="30"/>
      <c r="Y68" s="30"/>
      <c r="Z68" s="30"/>
      <c r="AA68" s="26">
        <v>24</v>
      </c>
      <c r="AB68" s="240"/>
      <c r="AC68" s="240"/>
      <c r="AD68" s="30"/>
      <c r="AE68" s="26">
        <v>24</v>
      </c>
      <c r="AF68" s="30"/>
      <c r="AG68" s="30"/>
      <c r="AH68" s="30"/>
      <c r="AI68" s="26">
        <v>24</v>
      </c>
      <c r="AJ68" s="240"/>
      <c r="AK68" s="134">
        <f t="shared" si="21"/>
        <v>168</v>
      </c>
      <c r="AL68" s="133">
        <f t="shared" si="22"/>
        <v>7</v>
      </c>
      <c r="AM68" s="248">
        <f t="shared" ref="AM68:AM70" si="23">AK68*260.416666666</f>
        <v>43749.999999888001</v>
      </c>
      <c r="AN68" s="22"/>
      <c r="AO68" s="5"/>
    </row>
    <row r="69" spans="1:41" ht="35.1" customHeight="1" x14ac:dyDescent="0.25">
      <c r="A69" s="69">
        <v>38</v>
      </c>
      <c r="B69" s="129" t="s">
        <v>127</v>
      </c>
      <c r="C69" s="109" t="s">
        <v>136</v>
      </c>
      <c r="D69" s="130" t="s">
        <v>128</v>
      </c>
      <c r="E69" s="126" t="s">
        <v>62</v>
      </c>
      <c r="F69" s="30"/>
      <c r="G69" s="26">
        <v>24</v>
      </c>
      <c r="H69" s="240"/>
      <c r="I69" s="30"/>
      <c r="J69" s="30"/>
      <c r="K69" s="26">
        <v>24</v>
      </c>
      <c r="L69" s="30"/>
      <c r="M69" s="30"/>
      <c r="N69" s="240"/>
      <c r="O69" s="26">
        <v>24</v>
      </c>
      <c r="P69" s="30"/>
      <c r="Q69" s="30"/>
      <c r="R69" s="30"/>
      <c r="S69" s="26">
        <v>24</v>
      </c>
      <c r="T69" s="30"/>
      <c r="U69" s="240"/>
      <c r="V69" s="240"/>
      <c r="W69" s="26">
        <v>24</v>
      </c>
      <c r="X69" s="30"/>
      <c r="Y69" s="30"/>
      <c r="Z69" s="30"/>
      <c r="AA69" s="26">
        <v>24</v>
      </c>
      <c r="AB69" s="240"/>
      <c r="AC69" s="240"/>
      <c r="AD69" s="30"/>
      <c r="AE69" s="26">
        <v>24</v>
      </c>
      <c r="AF69" s="30"/>
      <c r="AG69" s="30"/>
      <c r="AH69" s="30"/>
      <c r="AI69" s="26">
        <v>24</v>
      </c>
      <c r="AJ69" s="240"/>
      <c r="AK69" s="134">
        <f t="shared" si="21"/>
        <v>192</v>
      </c>
      <c r="AL69" s="133">
        <f t="shared" si="22"/>
        <v>8</v>
      </c>
      <c r="AM69" s="248">
        <f t="shared" si="23"/>
        <v>49999.999999872001</v>
      </c>
      <c r="AN69" s="16"/>
    </row>
    <row r="70" spans="1:41" ht="35.1" customHeight="1" thickBot="1" x14ac:dyDescent="0.3">
      <c r="A70" s="69">
        <v>39</v>
      </c>
      <c r="B70" s="129" t="s">
        <v>202</v>
      </c>
      <c r="C70" s="109" t="s">
        <v>135</v>
      </c>
      <c r="D70" s="130" t="s">
        <v>117</v>
      </c>
      <c r="E70" s="131" t="s">
        <v>62</v>
      </c>
      <c r="F70" s="31"/>
      <c r="G70" s="100">
        <v>24</v>
      </c>
      <c r="H70" s="259"/>
      <c r="I70" s="31"/>
      <c r="J70" s="31"/>
      <c r="K70" s="100">
        <v>24</v>
      </c>
      <c r="L70" s="31"/>
      <c r="M70" s="31"/>
      <c r="N70" s="259"/>
      <c r="O70" s="100">
        <v>24</v>
      </c>
      <c r="P70" s="31"/>
      <c r="Q70" s="31"/>
      <c r="R70" s="31"/>
      <c r="S70" s="100">
        <v>24</v>
      </c>
      <c r="T70" s="31"/>
      <c r="U70" s="259"/>
      <c r="V70" s="259"/>
      <c r="W70" s="100">
        <v>24</v>
      </c>
      <c r="X70" s="31"/>
      <c r="Y70" s="31"/>
      <c r="Z70" s="31"/>
      <c r="AA70" s="100">
        <v>24</v>
      </c>
      <c r="AB70" s="259"/>
      <c r="AC70" s="259"/>
      <c r="AD70" s="31"/>
      <c r="AE70" s="100">
        <v>24</v>
      </c>
      <c r="AF70" s="31"/>
      <c r="AG70" s="31"/>
      <c r="AH70" s="31"/>
      <c r="AI70" s="100">
        <v>24</v>
      </c>
      <c r="AJ70" s="259"/>
      <c r="AK70" s="137">
        <f t="shared" si="21"/>
        <v>192</v>
      </c>
      <c r="AL70" s="218">
        <f t="shared" si="22"/>
        <v>8</v>
      </c>
      <c r="AM70" s="270">
        <f t="shared" si="23"/>
        <v>49999.999999872001</v>
      </c>
      <c r="AN70" s="15" t="s">
        <v>124</v>
      </c>
    </row>
    <row r="71" spans="1:41" ht="22.5" customHeight="1" thickBot="1" x14ac:dyDescent="0.3">
      <c r="A71" s="387" t="s">
        <v>24</v>
      </c>
      <c r="B71" s="388"/>
      <c r="C71" s="388"/>
      <c r="D71" s="388"/>
      <c r="E71" s="388"/>
      <c r="F71" s="85">
        <f>COUNT(F66:F70)</f>
        <v>0</v>
      </c>
      <c r="G71" s="66">
        <f t="shared" ref="G71:AJ71" si="24">COUNT(G66:G70)</f>
        <v>5</v>
      </c>
      <c r="H71" s="66">
        <f t="shared" si="24"/>
        <v>0</v>
      </c>
      <c r="I71" s="66">
        <f t="shared" si="24"/>
        <v>0</v>
      </c>
      <c r="J71" s="66">
        <f t="shared" si="24"/>
        <v>0</v>
      </c>
      <c r="K71" s="66">
        <f t="shared" si="24"/>
        <v>5</v>
      </c>
      <c r="L71" s="66">
        <f t="shared" si="24"/>
        <v>0</v>
      </c>
      <c r="M71" s="66">
        <f t="shared" si="24"/>
        <v>0</v>
      </c>
      <c r="N71" s="66">
        <f t="shared" si="24"/>
        <v>0</v>
      </c>
      <c r="O71" s="66">
        <f t="shared" si="24"/>
        <v>5</v>
      </c>
      <c r="P71" s="66">
        <f t="shared" si="24"/>
        <v>0</v>
      </c>
      <c r="Q71" s="66">
        <f t="shared" si="24"/>
        <v>0</v>
      </c>
      <c r="R71" s="66">
        <f t="shared" si="24"/>
        <v>0</v>
      </c>
      <c r="S71" s="66">
        <f t="shared" si="24"/>
        <v>5</v>
      </c>
      <c r="T71" s="66">
        <f t="shared" si="24"/>
        <v>0</v>
      </c>
      <c r="U71" s="66">
        <f t="shared" si="24"/>
        <v>0</v>
      </c>
      <c r="V71" s="66">
        <f t="shared" si="24"/>
        <v>0</v>
      </c>
      <c r="W71" s="66">
        <f t="shared" si="24"/>
        <v>3</v>
      </c>
      <c r="X71" s="66">
        <f t="shared" si="24"/>
        <v>0</v>
      </c>
      <c r="Y71" s="66">
        <f t="shared" si="24"/>
        <v>0</v>
      </c>
      <c r="Z71" s="66">
        <f t="shared" si="24"/>
        <v>0</v>
      </c>
      <c r="AA71" s="66">
        <f t="shared" si="24"/>
        <v>4</v>
      </c>
      <c r="AB71" s="66">
        <f t="shared" si="24"/>
        <v>0</v>
      </c>
      <c r="AC71" s="66">
        <f t="shared" si="24"/>
        <v>0</v>
      </c>
      <c r="AD71" s="66">
        <f t="shared" si="24"/>
        <v>0</v>
      </c>
      <c r="AE71" s="66">
        <f t="shared" si="24"/>
        <v>4</v>
      </c>
      <c r="AF71" s="66">
        <f t="shared" si="24"/>
        <v>0</v>
      </c>
      <c r="AG71" s="66">
        <f t="shared" si="24"/>
        <v>0</v>
      </c>
      <c r="AH71" s="66">
        <f t="shared" si="24"/>
        <v>0</v>
      </c>
      <c r="AI71" s="66">
        <f t="shared" si="24"/>
        <v>5</v>
      </c>
      <c r="AJ71" s="66">
        <f t="shared" si="24"/>
        <v>0</v>
      </c>
      <c r="AK71" s="107">
        <f>SUM(AK66:AK70)</f>
        <v>864</v>
      </c>
      <c r="AL71" s="67">
        <f>SUM(AL66:AL70)</f>
        <v>36</v>
      </c>
      <c r="AM71" s="312">
        <f>AM66+AM67+AM68+AM69+AM70</f>
        <v>234374.99999942401</v>
      </c>
      <c r="AN71" s="16"/>
    </row>
    <row r="72" spans="1:41" ht="35.1" customHeight="1" x14ac:dyDescent="0.25">
      <c r="A72" s="69">
        <v>40</v>
      </c>
      <c r="B72" s="271" t="s">
        <v>67</v>
      </c>
      <c r="C72" s="121" t="s">
        <v>60</v>
      </c>
      <c r="D72" s="272" t="s">
        <v>68</v>
      </c>
      <c r="E72" s="273" t="s">
        <v>62</v>
      </c>
      <c r="F72" s="256"/>
      <c r="G72" s="209"/>
      <c r="H72" s="35">
        <v>24</v>
      </c>
      <c r="I72" s="86"/>
      <c r="J72" s="86"/>
      <c r="K72" s="86"/>
      <c r="L72" s="35">
        <v>24</v>
      </c>
      <c r="M72" s="86"/>
      <c r="N72" s="209"/>
      <c r="O72" s="209"/>
      <c r="P72" s="35">
        <v>24</v>
      </c>
      <c r="Q72" s="86"/>
      <c r="R72" s="86"/>
      <c r="S72" s="86"/>
      <c r="T72" s="35">
        <v>24</v>
      </c>
      <c r="U72" s="209"/>
      <c r="V72" s="209"/>
      <c r="W72" s="86"/>
      <c r="X72" s="35">
        <v>24</v>
      </c>
      <c r="Y72" s="86"/>
      <c r="Z72" s="86"/>
      <c r="AA72" s="86"/>
      <c r="AB72" s="35">
        <v>24</v>
      </c>
      <c r="AC72" s="209"/>
      <c r="AD72" s="86"/>
      <c r="AE72" s="86"/>
      <c r="AF72" s="35">
        <v>24</v>
      </c>
      <c r="AG72" s="86"/>
      <c r="AH72" s="86"/>
      <c r="AI72" s="209"/>
      <c r="AJ72" s="35">
        <v>24</v>
      </c>
      <c r="AK72" s="134">
        <f>SUM(F72:AJ72)</f>
        <v>192</v>
      </c>
      <c r="AL72" s="133">
        <f>SUM(AK72/24)</f>
        <v>8</v>
      </c>
      <c r="AM72" s="247">
        <f>AK72*338.541666666</f>
        <v>64999.999999872001</v>
      </c>
      <c r="AN72" s="15" t="s">
        <v>124</v>
      </c>
    </row>
    <row r="73" spans="1:41" ht="35.1" customHeight="1" x14ac:dyDescent="0.25">
      <c r="A73" s="69">
        <v>41</v>
      </c>
      <c r="B73" s="143" t="s">
        <v>69</v>
      </c>
      <c r="C73" s="144" t="s">
        <v>138</v>
      </c>
      <c r="D73" s="145" t="s">
        <v>70</v>
      </c>
      <c r="E73" s="146" t="s">
        <v>62</v>
      </c>
      <c r="F73" s="30"/>
      <c r="G73" s="240"/>
      <c r="H73" s="26">
        <v>24</v>
      </c>
      <c r="I73" s="30"/>
      <c r="J73" s="30"/>
      <c r="K73" s="30"/>
      <c r="L73" s="26">
        <v>24</v>
      </c>
      <c r="M73" s="30"/>
      <c r="N73" s="240"/>
      <c r="O73" s="240"/>
      <c r="P73" s="26">
        <v>24</v>
      </c>
      <c r="Q73" s="30"/>
      <c r="R73" s="30"/>
      <c r="S73" s="30"/>
      <c r="T73" s="26">
        <v>24</v>
      </c>
      <c r="U73" s="240"/>
      <c r="V73" s="240"/>
      <c r="W73" s="30"/>
      <c r="X73" s="26">
        <v>24</v>
      </c>
      <c r="Y73" s="30"/>
      <c r="Z73" s="306">
        <v>24</v>
      </c>
      <c r="AA73" s="30"/>
      <c r="AB73" s="26">
        <v>24</v>
      </c>
      <c r="AC73" s="240"/>
      <c r="AD73" s="30"/>
      <c r="AE73" s="30"/>
      <c r="AF73" s="26">
        <v>24</v>
      </c>
      <c r="AG73" s="30"/>
      <c r="AH73" s="30"/>
      <c r="AI73" s="240"/>
      <c r="AJ73" s="26">
        <v>24</v>
      </c>
      <c r="AK73" s="134">
        <f t="shared" ref="AK73:AK76" si="25">SUM(F73:AJ73)</f>
        <v>216</v>
      </c>
      <c r="AL73" s="133">
        <f t="shared" ref="AL73:AL76" si="26">SUM(AK73/24)</f>
        <v>9</v>
      </c>
      <c r="AM73" s="248">
        <f>AK73*260.416666666</f>
        <v>56249.999999856009</v>
      </c>
      <c r="AN73" s="16"/>
    </row>
    <row r="74" spans="1:41" ht="35.1" customHeight="1" x14ac:dyDescent="0.25">
      <c r="A74" s="69">
        <v>42</v>
      </c>
      <c r="B74" s="49" t="s">
        <v>150</v>
      </c>
      <c r="C74" s="33" t="s">
        <v>136</v>
      </c>
      <c r="D74" s="145" t="s">
        <v>145</v>
      </c>
      <c r="E74" s="146" t="s">
        <v>62</v>
      </c>
      <c r="F74" s="30"/>
      <c r="G74" s="240"/>
      <c r="H74" s="26">
        <v>24</v>
      </c>
      <c r="I74" s="30"/>
      <c r="J74" s="30"/>
      <c r="K74" s="30"/>
      <c r="L74" s="26">
        <v>24</v>
      </c>
      <c r="M74" s="30"/>
      <c r="N74" s="240"/>
      <c r="O74" s="240"/>
      <c r="P74" s="26">
        <v>24</v>
      </c>
      <c r="Q74" s="30"/>
      <c r="R74" s="30"/>
      <c r="S74" s="30"/>
      <c r="T74" s="26">
        <v>24</v>
      </c>
      <c r="U74" s="240"/>
      <c r="V74" s="240"/>
      <c r="W74" s="30"/>
      <c r="X74" s="26">
        <v>24</v>
      </c>
      <c r="Y74" s="30"/>
      <c r="Z74" s="30"/>
      <c r="AA74" s="30"/>
      <c r="AB74" s="26">
        <v>24</v>
      </c>
      <c r="AC74" s="240"/>
      <c r="AD74" s="30"/>
      <c r="AE74" s="30"/>
      <c r="AF74" s="26">
        <v>24</v>
      </c>
      <c r="AG74" s="30"/>
      <c r="AH74" s="30"/>
      <c r="AI74" s="240"/>
      <c r="AJ74" s="26">
        <v>24</v>
      </c>
      <c r="AK74" s="134">
        <f t="shared" si="25"/>
        <v>192</v>
      </c>
      <c r="AL74" s="133">
        <f t="shared" si="26"/>
        <v>8</v>
      </c>
      <c r="AM74" s="248">
        <f t="shared" ref="AM74:AM76" si="27">AK74*260.416666666</f>
        <v>49999.999999872001</v>
      </c>
      <c r="AN74" s="15" t="s">
        <v>124</v>
      </c>
    </row>
    <row r="75" spans="1:41" ht="35.1" customHeight="1" x14ac:dyDescent="0.25">
      <c r="A75" s="69">
        <v>43</v>
      </c>
      <c r="B75" s="143" t="s">
        <v>200</v>
      </c>
      <c r="C75" s="33" t="s">
        <v>135</v>
      </c>
      <c r="D75" s="145" t="s">
        <v>201</v>
      </c>
      <c r="E75" s="146" t="s">
        <v>62</v>
      </c>
      <c r="F75" s="30"/>
      <c r="G75" s="240"/>
      <c r="H75" s="26">
        <v>24</v>
      </c>
      <c r="I75" s="30"/>
      <c r="J75" s="30"/>
      <c r="K75" s="30"/>
      <c r="L75" s="26">
        <v>24</v>
      </c>
      <c r="M75" s="30"/>
      <c r="N75" s="240"/>
      <c r="O75" s="240"/>
      <c r="P75" s="26">
        <v>24</v>
      </c>
      <c r="Q75" s="30"/>
      <c r="R75" s="30"/>
      <c r="S75" s="30"/>
      <c r="T75" s="26">
        <v>24</v>
      </c>
      <c r="U75" s="240"/>
      <c r="V75" s="240"/>
      <c r="W75" s="30"/>
      <c r="X75" s="26">
        <v>24</v>
      </c>
      <c r="Y75" s="30"/>
      <c r="Z75" s="30"/>
      <c r="AA75" s="30"/>
      <c r="AB75" s="26">
        <v>24</v>
      </c>
      <c r="AC75" s="240"/>
      <c r="AD75" s="30"/>
      <c r="AE75" s="30"/>
      <c r="AF75" s="26">
        <v>24</v>
      </c>
      <c r="AG75" s="30"/>
      <c r="AH75" s="30"/>
      <c r="AI75" s="240"/>
      <c r="AJ75" s="26">
        <v>24</v>
      </c>
      <c r="AK75" s="134">
        <f t="shared" si="25"/>
        <v>192</v>
      </c>
      <c r="AL75" s="133">
        <f t="shared" si="26"/>
        <v>8</v>
      </c>
      <c r="AM75" s="248">
        <f t="shared" si="27"/>
        <v>49999.999999872001</v>
      </c>
      <c r="AN75" s="15" t="s">
        <v>124</v>
      </c>
    </row>
    <row r="76" spans="1:41" ht="35.1" customHeight="1" thickBot="1" x14ac:dyDescent="0.3">
      <c r="A76" s="69">
        <v>44</v>
      </c>
      <c r="B76" s="108" t="s">
        <v>209</v>
      </c>
      <c r="C76" s="109" t="s">
        <v>137</v>
      </c>
      <c r="D76" s="150" t="s">
        <v>208</v>
      </c>
      <c r="E76" s="182" t="s">
        <v>62</v>
      </c>
      <c r="F76" s="31"/>
      <c r="G76" s="259"/>
      <c r="H76" s="100">
        <v>24</v>
      </c>
      <c r="I76" s="31"/>
      <c r="J76" s="31"/>
      <c r="K76" s="31"/>
      <c r="L76" s="100">
        <v>24</v>
      </c>
      <c r="M76" s="31"/>
      <c r="N76" s="259"/>
      <c r="O76" s="259"/>
      <c r="P76" s="100">
        <v>24</v>
      </c>
      <c r="Q76" s="31"/>
      <c r="R76" s="31"/>
      <c r="S76" s="31"/>
      <c r="T76" s="100">
        <v>24</v>
      </c>
      <c r="U76" s="259"/>
      <c r="V76" s="259"/>
      <c r="W76" s="31"/>
      <c r="X76" s="100">
        <v>24</v>
      </c>
      <c r="Y76" s="31"/>
      <c r="Z76" s="31"/>
      <c r="AA76" s="31"/>
      <c r="AB76" s="100">
        <v>24</v>
      </c>
      <c r="AC76" s="259"/>
      <c r="AD76" s="31"/>
      <c r="AE76" s="31"/>
      <c r="AF76" s="100">
        <v>24</v>
      </c>
      <c r="AG76" s="31"/>
      <c r="AH76" s="31"/>
      <c r="AI76" s="259"/>
      <c r="AJ76" s="100">
        <v>24</v>
      </c>
      <c r="AK76" s="137">
        <f t="shared" si="25"/>
        <v>192</v>
      </c>
      <c r="AL76" s="218">
        <f t="shared" si="26"/>
        <v>8</v>
      </c>
      <c r="AM76" s="270">
        <f t="shared" si="27"/>
        <v>49999.999999872001</v>
      </c>
      <c r="AN76" s="20"/>
    </row>
    <row r="77" spans="1:41" ht="24" customHeight="1" thickBot="1" x14ac:dyDescent="0.3">
      <c r="A77" s="387" t="s">
        <v>24</v>
      </c>
      <c r="B77" s="388"/>
      <c r="C77" s="388"/>
      <c r="D77" s="388"/>
      <c r="E77" s="388"/>
      <c r="F77" s="85">
        <f>COUNT(F72:F76)</f>
        <v>0</v>
      </c>
      <c r="G77" s="66">
        <f t="shared" ref="G77:AJ77" si="28">COUNT(G72:G76)</f>
        <v>0</v>
      </c>
      <c r="H77" s="66">
        <f t="shared" si="28"/>
        <v>5</v>
      </c>
      <c r="I77" s="66">
        <f t="shared" si="28"/>
        <v>0</v>
      </c>
      <c r="J77" s="66">
        <f t="shared" si="28"/>
        <v>0</v>
      </c>
      <c r="K77" s="66">
        <f t="shared" si="28"/>
        <v>0</v>
      </c>
      <c r="L77" s="66">
        <f t="shared" si="28"/>
        <v>5</v>
      </c>
      <c r="M77" s="66">
        <f t="shared" si="28"/>
        <v>0</v>
      </c>
      <c r="N77" s="66">
        <f t="shared" si="28"/>
        <v>0</v>
      </c>
      <c r="O77" s="66">
        <f t="shared" si="28"/>
        <v>0</v>
      </c>
      <c r="P77" s="66">
        <f t="shared" si="28"/>
        <v>5</v>
      </c>
      <c r="Q77" s="66">
        <f t="shared" si="28"/>
        <v>0</v>
      </c>
      <c r="R77" s="66">
        <f t="shared" si="28"/>
        <v>0</v>
      </c>
      <c r="S77" s="66">
        <f t="shared" si="28"/>
        <v>0</v>
      </c>
      <c r="T77" s="66">
        <f t="shared" si="28"/>
        <v>5</v>
      </c>
      <c r="U77" s="66">
        <f t="shared" si="28"/>
        <v>0</v>
      </c>
      <c r="V77" s="66">
        <f t="shared" si="28"/>
        <v>0</v>
      </c>
      <c r="W77" s="66">
        <f t="shared" si="28"/>
        <v>0</v>
      </c>
      <c r="X77" s="66">
        <f t="shared" si="28"/>
        <v>5</v>
      </c>
      <c r="Y77" s="66">
        <f t="shared" si="28"/>
        <v>0</v>
      </c>
      <c r="Z77" s="66">
        <f t="shared" si="28"/>
        <v>1</v>
      </c>
      <c r="AA77" s="66">
        <f t="shared" si="28"/>
        <v>0</v>
      </c>
      <c r="AB77" s="66">
        <f t="shared" si="28"/>
        <v>5</v>
      </c>
      <c r="AC77" s="66">
        <f t="shared" si="28"/>
        <v>0</v>
      </c>
      <c r="AD77" s="66">
        <f t="shared" si="28"/>
        <v>0</v>
      </c>
      <c r="AE77" s="66">
        <f t="shared" si="28"/>
        <v>0</v>
      </c>
      <c r="AF77" s="66">
        <f t="shared" si="28"/>
        <v>5</v>
      </c>
      <c r="AG77" s="66">
        <f t="shared" si="28"/>
        <v>0</v>
      </c>
      <c r="AH77" s="66">
        <f t="shared" si="28"/>
        <v>0</v>
      </c>
      <c r="AI77" s="66">
        <f t="shared" si="28"/>
        <v>0</v>
      </c>
      <c r="AJ77" s="87">
        <f t="shared" si="28"/>
        <v>5</v>
      </c>
      <c r="AK77" s="107">
        <f>SUM(AK72:AK76)</f>
        <v>984</v>
      </c>
      <c r="AL77" s="67">
        <f>SUM(AL72:AL76)</f>
        <v>41</v>
      </c>
      <c r="AM77" s="312">
        <f>AM72+AM73+AM74+AM75+AM76</f>
        <v>271249.999999344</v>
      </c>
      <c r="AN77" s="16"/>
    </row>
    <row r="78" spans="1:41" ht="35.1" customHeight="1" x14ac:dyDescent="0.25">
      <c r="A78" s="69">
        <v>45</v>
      </c>
      <c r="B78" s="70" t="s">
        <v>45</v>
      </c>
      <c r="C78" s="104" t="s">
        <v>60</v>
      </c>
      <c r="D78" s="224" t="s">
        <v>115</v>
      </c>
      <c r="E78" s="323" t="s">
        <v>62</v>
      </c>
      <c r="F78" s="256"/>
      <c r="G78" s="209"/>
      <c r="H78" s="209"/>
      <c r="I78" s="35">
        <v>24</v>
      </c>
      <c r="J78" s="86"/>
      <c r="K78" s="86"/>
      <c r="L78" s="86"/>
      <c r="M78" s="35">
        <v>24</v>
      </c>
      <c r="N78" s="209"/>
      <c r="O78" s="206">
        <v>24</v>
      </c>
      <c r="P78" s="86"/>
      <c r="Q78" s="35">
        <v>24</v>
      </c>
      <c r="R78" s="86"/>
      <c r="S78" s="206">
        <v>24</v>
      </c>
      <c r="T78" s="86"/>
      <c r="U78" s="35">
        <v>24</v>
      </c>
      <c r="V78" s="209"/>
      <c r="W78" s="206">
        <v>24</v>
      </c>
      <c r="X78" s="86"/>
      <c r="Y78" s="35">
        <v>24</v>
      </c>
      <c r="Z78" s="86"/>
      <c r="AA78" s="206">
        <v>24</v>
      </c>
      <c r="AB78" s="209"/>
      <c r="AC78" s="35">
        <v>24</v>
      </c>
      <c r="AD78" s="86"/>
      <c r="AE78" s="206">
        <v>24</v>
      </c>
      <c r="AF78" s="86"/>
      <c r="AG78" s="35">
        <v>24</v>
      </c>
      <c r="AH78" s="86"/>
      <c r="AI78" s="209"/>
      <c r="AJ78" s="209"/>
      <c r="AK78" s="134">
        <f>SUM(F78:AJ78)</f>
        <v>288</v>
      </c>
      <c r="AL78" s="133">
        <f>SUM(AK78/24)</f>
        <v>12</v>
      </c>
      <c r="AM78" s="247">
        <f>AK78*386.904761904</f>
        <v>111428.57142835201</v>
      </c>
      <c r="AN78" s="16"/>
    </row>
    <row r="79" spans="1:41" ht="35.1" customHeight="1" x14ac:dyDescent="0.25">
      <c r="A79" s="69">
        <v>46</v>
      </c>
      <c r="B79" s="6" t="s">
        <v>71</v>
      </c>
      <c r="C79" s="324" t="s">
        <v>137</v>
      </c>
      <c r="D79" s="28" t="s">
        <v>72</v>
      </c>
      <c r="E79" s="325" t="s">
        <v>62</v>
      </c>
      <c r="F79" s="302" t="s">
        <v>170</v>
      </c>
      <c r="G79" s="302" t="s">
        <v>170</v>
      </c>
      <c r="H79" s="302" t="s">
        <v>170</v>
      </c>
      <c r="I79" s="302" t="s">
        <v>170</v>
      </c>
      <c r="J79" s="302" t="s">
        <v>170</v>
      </c>
      <c r="K79" s="302" t="s">
        <v>170</v>
      </c>
      <c r="L79" s="302" t="s">
        <v>170</v>
      </c>
      <c r="M79" s="302" t="s">
        <v>170</v>
      </c>
      <c r="N79" s="302" t="s">
        <v>170</v>
      </c>
      <c r="O79" s="240"/>
      <c r="P79" s="30"/>
      <c r="Q79" s="26">
        <v>24</v>
      </c>
      <c r="R79" s="30"/>
      <c r="S79" s="30"/>
      <c r="T79" s="30"/>
      <c r="U79" s="26">
        <v>24</v>
      </c>
      <c r="V79" s="240"/>
      <c r="W79" s="30"/>
      <c r="X79" s="30"/>
      <c r="Y79" s="26">
        <v>24</v>
      </c>
      <c r="Z79" s="30"/>
      <c r="AA79" s="30"/>
      <c r="AB79" s="240"/>
      <c r="AC79" s="26">
        <v>24</v>
      </c>
      <c r="AD79" s="30"/>
      <c r="AE79" s="30"/>
      <c r="AF79" s="30"/>
      <c r="AG79" s="26">
        <v>24</v>
      </c>
      <c r="AH79" s="30"/>
      <c r="AI79" s="240"/>
      <c r="AJ79" s="240"/>
      <c r="AK79" s="134">
        <f t="shared" ref="AK79:AK82" si="29">SUM(F79:AJ79)</f>
        <v>120</v>
      </c>
      <c r="AL79" s="133">
        <f>SUM(AK79/24)</f>
        <v>5</v>
      </c>
      <c r="AM79" s="248">
        <f>AK79*297.619047618</f>
        <v>35714.285714160003</v>
      </c>
      <c r="AN79" s="21"/>
    </row>
    <row r="80" spans="1:41" ht="35.1" customHeight="1" x14ac:dyDescent="0.25">
      <c r="A80" s="69">
        <v>47</v>
      </c>
      <c r="B80" s="6" t="s">
        <v>73</v>
      </c>
      <c r="C80" s="324" t="s">
        <v>137</v>
      </c>
      <c r="D80" s="28" t="s">
        <v>74</v>
      </c>
      <c r="E80" s="325" t="s">
        <v>62</v>
      </c>
      <c r="F80" s="30"/>
      <c r="G80" s="240"/>
      <c r="H80" s="240"/>
      <c r="I80" s="26">
        <v>24</v>
      </c>
      <c r="J80" s="30"/>
      <c r="K80" s="30"/>
      <c r="L80" s="30"/>
      <c r="M80" s="26">
        <v>24</v>
      </c>
      <c r="N80" s="240"/>
      <c r="O80" s="240"/>
      <c r="P80" s="30"/>
      <c r="Q80" s="26">
        <v>24</v>
      </c>
      <c r="R80" s="30"/>
      <c r="S80" s="30"/>
      <c r="T80" s="30"/>
      <c r="U80" s="26">
        <v>24</v>
      </c>
      <c r="V80" s="240"/>
      <c r="W80" s="30"/>
      <c r="X80" s="30"/>
      <c r="Y80" s="26">
        <v>24</v>
      </c>
      <c r="Z80" s="30"/>
      <c r="AA80" s="30"/>
      <c r="AB80" s="240"/>
      <c r="AC80" s="26">
        <v>24</v>
      </c>
      <c r="AD80" s="30"/>
      <c r="AE80" s="30"/>
      <c r="AF80" s="30"/>
      <c r="AG80" s="26">
        <v>24</v>
      </c>
      <c r="AH80" s="30"/>
      <c r="AI80" s="240"/>
      <c r="AJ80" s="240"/>
      <c r="AK80" s="134">
        <f t="shared" si="29"/>
        <v>168</v>
      </c>
      <c r="AL80" s="133">
        <f t="shared" ref="AL80:AL82" si="30">SUM(AK80/24)</f>
        <v>7</v>
      </c>
      <c r="AM80" s="248">
        <f t="shared" ref="AM80:AM81" si="31">AK80*297.619047618</f>
        <v>49999.999999824002</v>
      </c>
      <c r="AN80" s="16" t="s">
        <v>147</v>
      </c>
    </row>
    <row r="81" spans="1:41" ht="35.1" customHeight="1" x14ac:dyDescent="0.25">
      <c r="A81" s="69">
        <v>48</v>
      </c>
      <c r="B81" s="6" t="s">
        <v>99</v>
      </c>
      <c r="C81" s="326" t="s">
        <v>135</v>
      </c>
      <c r="D81" s="28" t="s">
        <v>100</v>
      </c>
      <c r="E81" s="325" t="s">
        <v>62</v>
      </c>
      <c r="F81" s="30"/>
      <c r="G81" s="240"/>
      <c r="H81" s="240"/>
      <c r="I81" s="26">
        <v>24</v>
      </c>
      <c r="J81" s="30"/>
      <c r="K81" s="30"/>
      <c r="L81" s="30"/>
      <c r="M81" s="26">
        <v>24</v>
      </c>
      <c r="N81" s="240"/>
      <c r="O81" s="240"/>
      <c r="P81" s="30"/>
      <c r="Q81" s="26">
        <v>24</v>
      </c>
      <c r="R81" s="30"/>
      <c r="S81" s="30"/>
      <c r="T81" s="30"/>
      <c r="U81" s="26">
        <v>24</v>
      </c>
      <c r="V81" s="240"/>
      <c r="W81" s="30"/>
      <c r="X81" s="30"/>
      <c r="Y81" s="26">
        <v>24</v>
      </c>
      <c r="Z81" s="30"/>
      <c r="AA81" s="30"/>
      <c r="AB81" s="240"/>
      <c r="AC81" s="26">
        <v>24</v>
      </c>
      <c r="AD81" s="30"/>
      <c r="AE81" s="30"/>
      <c r="AF81" s="30"/>
      <c r="AG81" s="26">
        <v>24</v>
      </c>
      <c r="AH81" s="30"/>
      <c r="AI81" s="240"/>
      <c r="AJ81" s="240"/>
      <c r="AK81" s="134">
        <f t="shared" si="29"/>
        <v>168</v>
      </c>
      <c r="AL81" s="133">
        <f t="shared" si="30"/>
        <v>7</v>
      </c>
      <c r="AM81" s="248">
        <f t="shared" si="31"/>
        <v>49999.999999824002</v>
      </c>
      <c r="AN81" s="15" t="s">
        <v>124</v>
      </c>
      <c r="AO81" s="5"/>
    </row>
    <row r="82" spans="1:41" ht="35.1" customHeight="1" thickBot="1" x14ac:dyDescent="0.3">
      <c r="A82" s="69">
        <v>49</v>
      </c>
      <c r="B82" s="48" t="s">
        <v>48</v>
      </c>
      <c r="C82" s="327" t="s">
        <v>136</v>
      </c>
      <c r="D82" s="32" t="s">
        <v>49</v>
      </c>
      <c r="E82" s="328" t="s">
        <v>62</v>
      </c>
      <c r="F82" s="31"/>
      <c r="G82" s="259"/>
      <c r="H82" s="259"/>
      <c r="I82" s="100">
        <v>24</v>
      </c>
      <c r="J82" s="31"/>
      <c r="K82" s="31"/>
      <c r="L82" s="31"/>
      <c r="M82" s="100">
        <v>24</v>
      </c>
      <c r="N82" s="259"/>
      <c r="O82" s="259"/>
      <c r="P82" s="31"/>
      <c r="Q82" s="100">
        <v>24</v>
      </c>
      <c r="R82" s="31"/>
      <c r="S82" s="31"/>
      <c r="T82" s="31"/>
      <c r="U82" s="254" t="s">
        <v>172</v>
      </c>
      <c r="V82" s="259"/>
      <c r="W82" s="31"/>
      <c r="X82" s="31"/>
      <c r="Y82" s="321" t="s">
        <v>177</v>
      </c>
      <c r="Z82" s="321" t="s">
        <v>177</v>
      </c>
      <c r="AA82" s="321" t="s">
        <v>177</v>
      </c>
      <c r="AB82" s="321" t="s">
        <v>177</v>
      </c>
      <c r="AC82" s="321" t="s">
        <v>177</v>
      </c>
      <c r="AD82" s="321" t="s">
        <v>177</v>
      </c>
      <c r="AE82" s="321" t="s">
        <v>177</v>
      </c>
      <c r="AF82" s="321" t="s">
        <v>177</v>
      </c>
      <c r="AG82" s="321" t="s">
        <v>177</v>
      </c>
      <c r="AH82" s="321" t="s">
        <v>177</v>
      </c>
      <c r="AI82" s="259"/>
      <c r="AJ82" s="259"/>
      <c r="AK82" s="137">
        <f t="shared" si="29"/>
        <v>72</v>
      </c>
      <c r="AL82" s="218">
        <f t="shared" si="30"/>
        <v>3</v>
      </c>
      <c r="AM82" s="270">
        <f>AK82*297.619047618</f>
        <v>21428.571428496001</v>
      </c>
      <c r="AN82" s="15"/>
    </row>
    <row r="83" spans="1:41" ht="22.5" customHeight="1" thickBot="1" x14ac:dyDescent="0.3">
      <c r="A83" s="371" t="s">
        <v>24</v>
      </c>
      <c r="B83" s="372"/>
      <c r="C83" s="372"/>
      <c r="D83" s="372"/>
      <c r="E83" s="372"/>
      <c r="F83" s="85">
        <f>COUNT(F78:F82)</f>
        <v>0</v>
      </c>
      <c r="G83" s="66">
        <f t="shared" ref="G83:AJ83" si="32">COUNT(G78:G82)</f>
        <v>0</v>
      </c>
      <c r="H83" s="66">
        <f t="shared" si="32"/>
        <v>0</v>
      </c>
      <c r="I83" s="66">
        <f t="shared" si="32"/>
        <v>4</v>
      </c>
      <c r="J83" s="66">
        <f t="shared" si="32"/>
        <v>0</v>
      </c>
      <c r="K83" s="66">
        <f t="shared" si="32"/>
        <v>0</v>
      </c>
      <c r="L83" s="66">
        <f t="shared" si="32"/>
        <v>0</v>
      </c>
      <c r="M83" s="66">
        <f t="shared" si="32"/>
        <v>4</v>
      </c>
      <c r="N83" s="66">
        <f t="shared" si="32"/>
        <v>0</v>
      </c>
      <c r="O83" s="66">
        <f t="shared" si="32"/>
        <v>1</v>
      </c>
      <c r="P83" s="66">
        <f t="shared" si="32"/>
        <v>0</v>
      </c>
      <c r="Q83" s="66">
        <f t="shared" si="32"/>
        <v>5</v>
      </c>
      <c r="R83" s="66">
        <f t="shared" si="32"/>
        <v>0</v>
      </c>
      <c r="S83" s="66">
        <f t="shared" si="32"/>
        <v>1</v>
      </c>
      <c r="T83" s="66">
        <f t="shared" si="32"/>
        <v>0</v>
      </c>
      <c r="U83" s="66">
        <f t="shared" si="32"/>
        <v>4</v>
      </c>
      <c r="V83" s="66">
        <f t="shared" si="32"/>
        <v>0</v>
      </c>
      <c r="W83" s="66">
        <f t="shared" si="32"/>
        <v>1</v>
      </c>
      <c r="X83" s="66">
        <f t="shared" si="32"/>
        <v>0</v>
      </c>
      <c r="Y83" s="66">
        <f t="shared" si="32"/>
        <v>4</v>
      </c>
      <c r="Z83" s="66">
        <f t="shared" si="32"/>
        <v>0</v>
      </c>
      <c r="AA83" s="66">
        <f t="shared" si="32"/>
        <v>1</v>
      </c>
      <c r="AB83" s="66">
        <f t="shared" si="32"/>
        <v>0</v>
      </c>
      <c r="AC83" s="66">
        <f t="shared" si="32"/>
        <v>4</v>
      </c>
      <c r="AD83" s="66">
        <f t="shared" si="32"/>
        <v>0</v>
      </c>
      <c r="AE83" s="66">
        <f t="shared" si="32"/>
        <v>1</v>
      </c>
      <c r="AF83" s="66">
        <f t="shared" si="32"/>
        <v>0</v>
      </c>
      <c r="AG83" s="66">
        <f t="shared" si="32"/>
        <v>4</v>
      </c>
      <c r="AH83" s="66">
        <f t="shared" si="32"/>
        <v>0</v>
      </c>
      <c r="AI83" s="66">
        <f t="shared" si="32"/>
        <v>0</v>
      </c>
      <c r="AJ83" s="87">
        <f t="shared" si="32"/>
        <v>0</v>
      </c>
      <c r="AK83" s="107">
        <f>SUM(AK78:AK82)</f>
        <v>816</v>
      </c>
      <c r="AL83" s="67">
        <f>SUM(AL78:AL82)</f>
        <v>34</v>
      </c>
      <c r="AM83" s="312">
        <f>AM78+AM79+AM80+AM81+AM82</f>
        <v>268571.42857065605</v>
      </c>
      <c r="AN83" s="16"/>
    </row>
    <row r="84" spans="1:41" ht="35.1" customHeight="1" x14ac:dyDescent="0.25">
      <c r="A84" s="69">
        <v>50</v>
      </c>
      <c r="B84" s="70" t="s">
        <v>75</v>
      </c>
      <c r="C84" s="104" t="s">
        <v>60</v>
      </c>
      <c r="D84" s="224" t="s">
        <v>76</v>
      </c>
      <c r="E84" s="323" t="s">
        <v>62</v>
      </c>
      <c r="F84" s="35">
        <v>24</v>
      </c>
      <c r="G84" s="209"/>
      <c r="H84" s="209"/>
      <c r="I84" s="86"/>
      <c r="J84" s="35">
        <v>24</v>
      </c>
      <c r="K84" s="86"/>
      <c r="L84" s="86"/>
      <c r="M84" s="86"/>
      <c r="N84" s="35">
        <v>24</v>
      </c>
      <c r="O84" s="209"/>
      <c r="P84" s="86"/>
      <c r="Q84" s="86"/>
      <c r="R84" s="35">
        <v>24</v>
      </c>
      <c r="S84" s="86"/>
      <c r="T84" s="86"/>
      <c r="U84" s="209"/>
      <c r="V84" s="35">
        <v>24</v>
      </c>
      <c r="W84" s="86"/>
      <c r="X84" s="86"/>
      <c r="Y84" s="86"/>
      <c r="Z84" s="35">
        <v>24</v>
      </c>
      <c r="AA84" s="86"/>
      <c r="AB84" s="209"/>
      <c r="AC84" s="209"/>
      <c r="AD84" s="35">
        <v>24</v>
      </c>
      <c r="AE84" s="86"/>
      <c r="AF84" s="86"/>
      <c r="AG84" s="86"/>
      <c r="AH84" s="35">
        <v>24</v>
      </c>
      <c r="AI84" s="209"/>
      <c r="AJ84" s="209"/>
      <c r="AK84" s="134">
        <f>SUM(F84:AJ84)</f>
        <v>192</v>
      </c>
      <c r="AL84" s="133">
        <f>SUM(AK84/24)</f>
        <v>8</v>
      </c>
      <c r="AM84" s="247">
        <f>AK84*338.541666666</f>
        <v>64999.999999872001</v>
      </c>
      <c r="AN84" s="15" t="s">
        <v>124</v>
      </c>
    </row>
    <row r="85" spans="1:41" ht="35.1" customHeight="1" x14ac:dyDescent="0.25">
      <c r="A85" s="69">
        <v>51</v>
      </c>
      <c r="B85" s="6" t="s">
        <v>55</v>
      </c>
      <c r="C85" s="324" t="s">
        <v>137</v>
      </c>
      <c r="D85" s="28" t="s">
        <v>56</v>
      </c>
      <c r="E85" s="325" t="s">
        <v>62</v>
      </c>
      <c r="F85" s="26">
        <v>24</v>
      </c>
      <c r="G85" s="240"/>
      <c r="H85" s="240"/>
      <c r="I85" s="30"/>
      <c r="J85" s="26">
        <v>24</v>
      </c>
      <c r="K85" s="30"/>
      <c r="L85" s="30"/>
      <c r="M85" s="30"/>
      <c r="N85" s="26">
        <v>24</v>
      </c>
      <c r="O85" s="240"/>
      <c r="P85" s="30"/>
      <c r="Q85" s="30"/>
      <c r="R85" s="26">
        <v>24</v>
      </c>
      <c r="S85" s="30"/>
      <c r="T85" s="30"/>
      <c r="U85" s="240"/>
      <c r="V85" s="26">
        <v>24</v>
      </c>
      <c r="W85" s="30"/>
      <c r="X85" s="30"/>
      <c r="Y85" s="30"/>
      <c r="Z85" s="26">
        <v>24</v>
      </c>
      <c r="AA85" s="30"/>
      <c r="AB85" s="240"/>
      <c r="AC85" s="240"/>
      <c r="AD85" s="26">
        <v>24</v>
      </c>
      <c r="AE85" s="30"/>
      <c r="AF85" s="30"/>
      <c r="AG85" s="30"/>
      <c r="AH85" s="26">
        <v>24</v>
      </c>
      <c r="AI85" s="240"/>
      <c r="AJ85" s="240"/>
      <c r="AK85" s="134">
        <f t="shared" ref="AK85:AK88" si="33">SUM(F85:AJ85)</f>
        <v>192</v>
      </c>
      <c r="AL85" s="133">
        <f t="shared" ref="AL85:AL88" si="34">SUM(AK85/24)</f>
        <v>8</v>
      </c>
      <c r="AM85" s="248">
        <f>AK85*260.416666666</f>
        <v>49999.999999872001</v>
      </c>
      <c r="AN85" s="16"/>
    </row>
    <row r="86" spans="1:41" ht="35.1" customHeight="1" x14ac:dyDescent="0.25">
      <c r="A86" s="69">
        <v>52</v>
      </c>
      <c r="B86" s="6" t="s">
        <v>119</v>
      </c>
      <c r="C86" s="324" t="s">
        <v>137</v>
      </c>
      <c r="D86" s="28" t="s">
        <v>118</v>
      </c>
      <c r="E86" s="325" t="s">
        <v>62</v>
      </c>
      <c r="F86" s="26">
        <v>24</v>
      </c>
      <c r="G86" s="240"/>
      <c r="H86" s="240"/>
      <c r="I86" s="30"/>
      <c r="J86" s="26">
        <v>24</v>
      </c>
      <c r="K86" s="30"/>
      <c r="L86" s="30"/>
      <c r="M86" s="30"/>
      <c r="N86" s="26">
        <v>24</v>
      </c>
      <c r="O86" s="240"/>
      <c r="P86" s="30"/>
      <c r="Q86" s="30"/>
      <c r="R86" s="26">
        <v>24</v>
      </c>
      <c r="S86" s="30"/>
      <c r="T86" s="30"/>
      <c r="U86" s="240"/>
      <c r="V86" s="26">
        <v>24</v>
      </c>
      <c r="W86" s="30"/>
      <c r="X86" s="30"/>
      <c r="Y86" s="30"/>
      <c r="Z86" s="305" t="s">
        <v>172</v>
      </c>
      <c r="AA86" s="30"/>
      <c r="AB86" s="240"/>
      <c r="AC86" s="240"/>
      <c r="AD86" s="26">
        <v>24</v>
      </c>
      <c r="AE86" s="30"/>
      <c r="AF86" s="30"/>
      <c r="AG86" s="30"/>
      <c r="AH86" s="26">
        <v>24</v>
      </c>
      <c r="AI86" s="240"/>
      <c r="AJ86" s="240"/>
      <c r="AK86" s="134">
        <f t="shared" si="33"/>
        <v>168</v>
      </c>
      <c r="AL86" s="133">
        <f t="shared" si="34"/>
        <v>7</v>
      </c>
      <c r="AM86" s="248">
        <f t="shared" ref="AM86:AM88" si="35">AK86*260.416666666</f>
        <v>43749.999999888001</v>
      </c>
      <c r="AN86" s="16"/>
      <c r="AO86" s="1"/>
    </row>
    <row r="87" spans="1:41" ht="35.1" customHeight="1" x14ac:dyDescent="0.25">
      <c r="A87" s="69">
        <v>53</v>
      </c>
      <c r="B87" s="6" t="s">
        <v>77</v>
      </c>
      <c r="C87" s="326" t="s">
        <v>136</v>
      </c>
      <c r="D87" s="28" t="s">
        <v>78</v>
      </c>
      <c r="E87" s="325" t="s">
        <v>62</v>
      </c>
      <c r="F87" s="26">
        <v>24</v>
      </c>
      <c r="G87" s="240"/>
      <c r="H87" s="240"/>
      <c r="I87" s="30"/>
      <c r="J87" s="26">
        <v>24</v>
      </c>
      <c r="K87" s="30"/>
      <c r="L87" s="30"/>
      <c r="M87" s="30"/>
      <c r="N87" s="26">
        <v>24</v>
      </c>
      <c r="O87" s="240"/>
      <c r="P87" s="30"/>
      <c r="Q87" s="30"/>
      <c r="R87" s="26">
        <v>24</v>
      </c>
      <c r="S87" s="30"/>
      <c r="T87" s="30"/>
      <c r="U87" s="240"/>
      <c r="V87" s="26">
        <v>24</v>
      </c>
      <c r="W87" s="30"/>
      <c r="X87" s="30"/>
      <c r="Y87" s="30"/>
      <c r="Z87" s="305" t="s">
        <v>172</v>
      </c>
      <c r="AA87" s="30"/>
      <c r="AB87" s="240"/>
      <c r="AC87" s="240"/>
      <c r="AD87" s="26">
        <v>24</v>
      </c>
      <c r="AE87" s="30"/>
      <c r="AF87" s="30"/>
      <c r="AG87" s="30"/>
      <c r="AH87" s="26">
        <v>24</v>
      </c>
      <c r="AI87" s="240"/>
      <c r="AJ87" s="240"/>
      <c r="AK87" s="134">
        <f t="shared" si="33"/>
        <v>168</v>
      </c>
      <c r="AL87" s="133">
        <f t="shared" si="34"/>
        <v>7</v>
      </c>
      <c r="AM87" s="248">
        <f t="shared" si="35"/>
        <v>43749.999999888001</v>
      </c>
      <c r="AN87" s="16"/>
    </row>
    <row r="88" spans="1:41" ht="35.1" customHeight="1" thickBot="1" x14ac:dyDescent="0.3">
      <c r="A88" s="69">
        <v>54</v>
      </c>
      <c r="B88" s="274" t="s">
        <v>122</v>
      </c>
      <c r="C88" s="275" t="s">
        <v>135</v>
      </c>
      <c r="D88" s="276" t="s">
        <v>123</v>
      </c>
      <c r="E88" s="277" t="s">
        <v>62</v>
      </c>
      <c r="F88" s="100">
        <v>24</v>
      </c>
      <c r="G88" s="259"/>
      <c r="H88" s="259"/>
      <c r="I88" s="31"/>
      <c r="J88" s="100">
        <v>24</v>
      </c>
      <c r="K88" s="31"/>
      <c r="L88" s="31"/>
      <c r="M88" s="31"/>
      <c r="N88" s="100">
        <v>24</v>
      </c>
      <c r="O88" s="259"/>
      <c r="P88" s="31"/>
      <c r="Q88" s="31"/>
      <c r="R88" s="299" t="s">
        <v>170</v>
      </c>
      <c r="S88" s="299" t="s">
        <v>170</v>
      </c>
      <c r="T88" s="299" t="s">
        <v>170</v>
      </c>
      <c r="U88" s="299" t="s">
        <v>170</v>
      </c>
      <c r="V88" s="299" t="s">
        <v>170</v>
      </c>
      <c r="W88" s="299" t="s">
        <v>170</v>
      </c>
      <c r="X88" s="299" t="s">
        <v>170</v>
      </c>
      <c r="Y88" s="299" t="s">
        <v>170</v>
      </c>
      <c r="Z88" s="299" t="s">
        <v>170</v>
      </c>
      <c r="AA88" s="299" t="s">
        <v>170</v>
      </c>
      <c r="AB88" s="299" t="s">
        <v>170</v>
      </c>
      <c r="AC88" s="299" t="s">
        <v>170</v>
      </c>
      <c r="AD88" s="299" t="s">
        <v>170</v>
      </c>
      <c r="AE88" s="299" t="s">
        <v>170</v>
      </c>
      <c r="AF88" s="31"/>
      <c r="AG88" s="31"/>
      <c r="AH88" s="100">
        <v>24</v>
      </c>
      <c r="AI88" s="259"/>
      <c r="AJ88" s="259"/>
      <c r="AK88" s="137">
        <f t="shared" si="33"/>
        <v>96</v>
      </c>
      <c r="AL88" s="218">
        <f t="shared" si="34"/>
        <v>4</v>
      </c>
      <c r="AM88" s="270">
        <f t="shared" si="35"/>
        <v>24999.999999936001</v>
      </c>
      <c r="AN88" s="15" t="s">
        <v>124</v>
      </c>
    </row>
    <row r="89" spans="1:41" ht="22.5" customHeight="1" thickBot="1" x14ac:dyDescent="0.3">
      <c r="A89" s="387" t="s">
        <v>24</v>
      </c>
      <c r="B89" s="388"/>
      <c r="C89" s="388"/>
      <c r="D89" s="388"/>
      <c r="E89" s="388"/>
      <c r="F89" s="85">
        <f>COUNT(F84:F88)</f>
        <v>5</v>
      </c>
      <c r="G89" s="66">
        <f t="shared" ref="G89:AJ89" si="36">COUNT(G84:G88)</f>
        <v>0</v>
      </c>
      <c r="H89" s="66">
        <f t="shared" si="36"/>
        <v>0</v>
      </c>
      <c r="I89" s="66">
        <f t="shared" si="36"/>
        <v>0</v>
      </c>
      <c r="J89" s="66">
        <f t="shared" si="36"/>
        <v>5</v>
      </c>
      <c r="K89" s="66">
        <f t="shared" si="36"/>
        <v>0</v>
      </c>
      <c r="L89" s="66">
        <f t="shared" si="36"/>
        <v>0</v>
      </c>
      <c r="M89" s="66">
        <f t="shared" si="36"/>
        <v>0</v>
      </c>
      <c r="N89" s="66">
        <f t="shared" si="36"/>
        <v>5</v>
      </c>
      <c r="O89" s="66">
        <f t="shared" si="36"/>
        <v>0</v>
      </c>
      <c r="P89" s="66">
        <f t="shared" si="36"/>
        <v>0</v>
      </c>
      <c r="Q89" s="66">
        <f t="shared" si="36"/>
        <v>0</v>
      </c>
      <c r="R89" s="66">
        <f t="shared" si="36"/>
        <v>4</v>
      </c>
      <c r="S89" s="66">
        <f t="shared" si="36"/>
        <v>0</v>
      </c>
      <c r="T89" s="66">
        <f t="shared" si="36"/>
        <v>0</v>
      </c>
      <c r="U89" s="66">
        <f t="shared" si="36"/>
        <v>0</v>
      </c>
      <c r="V89" s="66">
        <f t="shared" si="36"/>
        <v>4</v>
      </c>
      <c r="W89" s="66">
        <f t="shared" si="36"/>
        <v>0</v>
      </c>
      <c r="X89" s="66">
        <f t="shared" si="36"/>
        <v>0</v>
      </c>
      <c r="Y89" s="66">
        <f t="shared" si="36"/>
        <v>0</v>
      </c>
      <c r="Z89" s="66">
        <f t="shared" si="36"/>
        <v>2</v>
      </c>
      <c r="AA89" s="66">
        <f t="shared" si="36"/>
        <v>0</v>
      </c>
      <c r="AB89" s="66">
        <f t="shared" si="36"/>
        <v>0</v>
      </c>
      <c r="AC89" s="66">
        <f t="shared" si="36"/>
        <v>0</v>
      </c>
      <c r="AD89" s="66">
        <f t="shared" si="36"/>
        <v>4</v>
      </c>
      <c r="AE89" s="66">
        <f t="shared" si="36"/>
        <v>0</v>
      </c>
      <c r="AF89" s="66">
        <f t="shared" si="36"/>
        <v>0</v>
      </c>
      <c r="AG89" s="66">
        <f t="shared" si="36"/>
        <v>0</v>
      </c>
      <c r="AH89" s="66">
        <f t="shared" si="36"/>
        <v>5</v>
      </c>
      <c r="AI89" s="66">
        <f t="shared" si="36"/>
        <v>0</v>
      </c>
      <c r="AJ89" s="87">
        <f t="shared" si="36"/>
        <v>0</v>
      </c>
      <c r="AK89" s="107">
        <f>SUM(AK84:AK88)</f>
        <v>816</v>
      </c>
      <c r="AL89" s="67">
        <f>SUM(AL84:AL88)</f>
        <v>34</v>
      </c>
      <c r="AM89" s="312">
        <f>AM84+AM85+AM86+AM87+AM88</f>
        <v>227499.99999945602</v>
      </c>
      <c r="AN89" s="16"/>
    </row>
    <row r="90" spans="1:41" ht="29.25" customHeight="1" thickBot="1" x14ac:dyDescent="0.3">
      <c r="A90" s="389" t="s">
        <v>24</v>
      </c>
      <c r="B90" s="390"/>
      <c r="C90" s="390"/>
      <c r="D90" s="390"/>
      <c r="E90" s="390"/>
      <c r="F90" s="278">
        <f>SUM(F89,F83,F77,F71,F64,F61,F51,F38,F28,F9)</f>
        <v>30</v>
      </c>
      <c r="G90" s="66">
        <v>30</v>
      </c>
      <c r="H90" s="66">
        <f t="shared" ref="H90:AJ90" si="37">COUNTA(H7:H89)</f>
        <v>24</v>
      </c>
      <c r="I90" s="66">
        <f t="shared" si="37"/>
        <v>36</v>
      </c>
      <c r="J90" s="66">
        <f t="shared" si="37"/>
        <v>42</v>
      </c>
      <c r="K90" s="66">
        <f t="shared" si="37"/>
        <v>42</v>
      </c>
      <c r="L90" s="66">
        <f t="shared" si="37"/>
        <v>38</v>
      </c>
      <c r="M90" s="66">
        <f t="shared" si="37"/>
        <v>36</v>
      </c>
      <c r="N90" s="66">
        <f t="shared" si="37"/>
        <v>30</v>
      </c>
      <c r="O90" s="66">
        <f t="shared" si="37"/>
        <v>29</v>
      </c>
      <c r="P90" s="66">
        <f t="shared" si="37"/>
        <v>37</v>
      </c>
      <c r="Q90" s="66">
        <f t="shared" si="37"/>
        <v>36</v>
      </c>
      <c r="R90" s="66">
        <f t="shared" si="37"/>
        <v>41</v>
      </c>
      <c r="S90" s="66">
        <f t="shared" si="37"/>
        <v>44</v>
      </c>
      <c r="T90" s="66">
        <f t="shared" si="37"/>
        <v>39</v>
      </c>
      <c r="U90" s="66">
        <f t="shared" si="37"/>
        <v>26</v>
      </c>
      <c r="V90" s="66">
        <f t="shared" si="37"/>
        <v>31</v>
      </c>
      <c r="W90" s="66">
        <f t="shared" si="37"/>
        <v>43</v>
      </c>
      <c r="X90" s="66">
        <f t="shared" si="37"/>
        <v>42</v>
      </c>
      <c r="Y90" s="66">
        <f t="shared" si="37"/>
        <v>41</v>
      </c>
      <c r="Z90" s="66">
        <f t="shared" si="37"/>
        <v>47</v>
      </c>
      <c r="AA90" s="66">
        <f t="shared" si="37"/>
        <v>46</v>
      </c>
      <c r="AB90" s="66">
        <f t="shared" si="37"/>
        <v>30</v>
      </c>
      <c r="AC90" s="66">
        <f t="shared" si="37"/>
        <v>25</v>
      </c>
      <c r="AD90" s="66">
        <f t="shared" si="37"/>
        <v>45</v>
      </c>
      <c r="AE90" s="66">
        <f t="shared" si="37"/>
        <v>46</v>
      </c>
      <c r="AF90" s="66">
        <f t="shared" si="37"/>
        <v>42</v>
      </c>
      <c r="AG90" s="66">
        <f t="shared" si="37"/>
        <v>40</v>
      </c>
      <c r="AH90" s="66">
        <f t="shared" si="37"/>
        <v>43</v>
      </c>
      <c r="AI90" s="66">
        <f t="shared" si="37"/>
        <v>35</v>
      </c>
      <c r="AJ90" s="67">
        <f t="shared" si="37"/>
        <v>32</v>
      </c>
      <c r="AK90" s="85">
        <f>SUM(AK89,AK83,AK77,AK71,AK64,AK61,AK51,AK38,AK28,AK9)</f>
        <v>8676</v>
      </c>
      <c r="AL90" s="67">
        <f>SUM(AL9,AL28,AL38,AL51,AL61,AL64,AL71,AL77,AL83,AL89)</f>
        <v>710.22727272727275</v>
      </c>
      <c r="AM90" s="312">
        <f>AN90-AM71-AM77-AM83-AM89</f>
        <v>58303.571431119955</v>
      </c>
      <c r="AN90" s="308">
        <v>1060000</v>
      </c>
    </row>
    <row r="91" spans="1:4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16"/>
    </row>
    <row r="92" spans="1:41" ht="27.75" customHeight="1" x14ac:dyDescent="0.25">
      <c r="A92" s="280" t="s">
        <v>189</v>
      </c>
      <c r="B92" s="195" t="s">
        <v>188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229"/>
      <c r="AN92" s="205"/>
    </row>
    <row r="93" spans="1:41" ht="26.25" customHeight="1" x14ac:dyDescent="0.25">
      <c r="A93" s="194">
        <v>8</v>
      </c>
      <c r="B93" s="193" t="s">
        <v>171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229"/>
      <c r="AN93" s="313"/>
    </row>
    <row r="94" spans="1:41" ht="23.25" customHeight="1" x14ac:dyDescent="0.25">
      <c r="A94" s="9" t="s">
        <v>172</v>
      </c>
      <c r="B94" s="193" t="s">
        <v>173</v>
      </c>
      <c r="AN94" s="309"/>
    </row>
    <row r="95" spans="1:41" ht="25.5" customHeight="1" x14ac:dyDescent="0.25">
      <c r="A95" s="297" t="s">
        <v>170</v>
      </c>
      <c r="B95" s="193" t="s">
        <v>174</v>
      </c>
    </row>
    <row r="96" spans="1:41" ht="28.5" customHeight="1" x14ac:dyDescent="0.25">
      <c r="A96" s="10" t="s">
        <v>175</v>
      </c>
      <c r="B96" s="193" t="s">
        <v>176</v>
      </c>
    </row>
    <row r="97" spans="1:40" ht="27.75" customHeight="1" x14ac:dyDescent="0.25">
      <c r="A97" s="11" t="s">
        <v>177</v>
      </c>
      <c r="B97" s="193" t="s">
        <v>178</v>
      </c>
    </row>
    <row r="98" spans="1:40" ht="27.75" customHeight="1" x14ac:dyDescent="0.25">
      <c r="A98" s="12"/>
      <c r="B98" s="193" t="s">
        <v>179</v>
      </c>
    </row>
    <row r="99" spans="1:40" ht="27.75" customHeight="1" x14ac:dyDescent="0.25">
      <c r="A99" s="13"/>
      <c r="B99" s="193" t="s">
        <v>180</v>
      </c>
    </row>
    <row r="100" spans="1:40" ht="27" customHeight="1" x14ac:dyDescent="0.25">
      <c r="A100" s="14" t="s">
        <v>181</v>
      </c>
      <c r="B100" s="193" t="s">
        <v>182</v>
      </c>
    </row>
    <row r="108" spans="1:40" ht="18" customHeight="1" x14ac:dyDescent="0.25">
      <c r="A108" s="3"/>
      <c r="B108" s="29" t="s">
        <v>79</v>
      </c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44" t="s">
        <v>80</v>
      </c>
      <c r="R108" s="344"/>
      <c r="S108" s="344"/>
      <c r="T108" s="344"/>
      <c r="U108" s="344"/>
      <c r="V108" s="344"/>
      <c r="W108" s="344"/>
      <c r="X108" s="344"/>
      <c r="Y108" s="344"/>
      <c r="Z108" s="344"/>
      <c r="AA108" s="344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16"/>
    </row>
    <row r="109" spans="1:40" ht="32.450000000000003" customHeight="1" x14ac:dyDescent="0.25">
      <c r="A109" s="4">
        <v>1</v>
      </c>
      <c r="B109" s="7" t="s">
        <v>81</v>
      </c>
      <c r="C109" s="3" t="s">
        <v>82</v>
      </c>
      <c r="D109" s="37" t="s">
        <v>83</v>
      </c>
      <c r="E109" s="344" t="s">
        <v>84</v>
      </c>
      <c r="F109" s="344"/>
      <c r="G109" s="344"/>
      <c r="H109" s="344"/>
      <c r="I109" s="344"/>
      <c r="J109" s="344"/>
      <c r="K109" s="344"/>
      <c r="L109" s="344"/>
      <c r="M109" s="345" t="s">
        <v>85</v>
      </c>
      <c r="N109" s="345"/>
      <c r="O109" s="345"/>
      <c r="P109" s="345"/>
      <c r="Q109" s="348" t="s">
        <v>106</v>
      </c>
      <c r="R109" s="349"/>
      <c r="S109" s="349"/>
      <c r="T109" s="349"/>
      <c r="U109" s="349"/>
      <c r="V109" s="349"/>
      <c r="W109" s="349"/>
      <c r="X109" s="349"/>
      <c r="Y109" s="349"/>
      <c r="Z109" s="349"/>
      <c r="AA109" s="350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16"/>
    </row>
    <row r="110" spans="1:40" ht="35.450000000000003" customHeight="1" x14ac:dyDescent="0.25">
      <c r="A110" s="4">
        <v>2</v>
      </c>
      <c r="B110" s="7" t="s">
        <v>81</v>
      </c>
      <c r="C110" s="3" t="s">
        <v>82</v>
      </c>
      <c r="D110" s="37" t="s">
        <v>86</v>
      </c>
      <c r="E110" s="344" t="s">
        <v>87</v>
      </c>
      <c r="F110" s="344"/>
      <c r="G110" s="344"/>
      <c r="H110" s="344"/>
      <c r="I110" s="344"/>
      <c r="J110" s="344"/>
      <c r="K110" s="344"/>
      <c r="L110" s="344"/>
      <c r="M110" s="345" t="s">
        <v>85</v>
      </c>
      <c r="N110" s="345"/>
      <c r="O110" s="345"/>
      <c r="P110" s="345"/>
      <c r="Q110" s="348" t="s">
        <v>98</v>
      </c>
      <c r="R110" s="349"/>
      <c r="S110" s="349"/>
      <c r="T110" s="349"/>
      <c r="U110" s="349"/>
      <c r="V110" s="349"/>
      <c r="W110" s="349"/>
      <c r="X110" s="349"/>
      <c r="Y110" s="349"/>
      <c r="Z110" s="349"/>
      <c r="AA110" s="350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16"/>
    </row>
    <row r="111" spans="1:40" x14ac:dyDescent="0.25">
      <c r="A111" s="4">
        <v>3</v>
      </c>
      <c r="B111" s="7" t="s">
        <v>0</v>
      </c>
      <c r="C111" s="3" t="s">
        <v>82</v>
      </c>
      <c r="D111" s="37" t="s">
        <v>88</v>
      </c>
      <c r="E111" s="344"/>
      <c r="F111" s="344"/>
      <c r="G111" s="344"/>
      <c r="H111" s="344"/>
      <c r="I111" s="344"/>
      <c r="J111" s="344"/>
      <c r="K111" s="344"/>
      <c r="L111" s="344"/>
      <c r="M111" s="345" t="s">
        <v>89</v>
      </c>
      <c r="N111" s="345"/>
      <c r="O111" s="345"/>
      <c r="P111" s="345"/>
      <c r="Q111" s="346" t="s">
        <v>90</v>
      </c>
      <c r="R111" s="346"/>
      <c r="S111" s="346"/>
      <c r="T111" s="346"/>
      <c r="U111" s="346"/>
      <c r="V111" s="346"/>
      <c r="W111" s="346"/>
      <c r="X111" s="346"/>
      <c r="Y111" s="346"/>
      <c r="Z111" s="346"/>
      <c r="AA111" s="34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16"/>
    </row>
    <row r="112" spans="1:40" ht="24" customHeight="1" x14ac:dyDescent="0.25">
      <c r="A112" s="4">
        <v>4</v>
      </c>
      <c r="B112" s="7" t="s">
        <v>104</v>
      </c>
      <c r="C112" s="3" t="s">
        <v>82</v>
      </c>
      <c r="D112" s="37" t="s">
        <v>91</v>
      </c>
      <c r="E112" s="344"/>
      <c r="F112" s="344"/>
      <c r="G112" s="344"/>
      <c r="H112" s="344"/>
      <c r="I112" s="344"/>
      <c r="J112" s="344"/>
      <c r="K112" s="344"/>
      <c r="L112" s="344"/>
      <c r="M112" s="345" t="s">
        <v>89</v>
      </c>
      <c r="N112" s="345"/>
      <c r="O112" s="345"/>
      <c r="P112" s="345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  <c r="AA112" s="34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16"/>
    </row>
    <row r="113" spans="1:40" ht="24" customHeight="1" x14ac:dyDescent="0.25">
      <c r="A113" s="4">
        <v>5</v>
      </c>
      <c r="B113" s="7" t="s">
        <v>53</v>
      </c>
      <c r="C113" s="3" t="s">
        <v>82</v>
      </c>
      <c r="D113" s="37" t="s">
        <v>92</v>
      </c>
      <c r="E113" s="344" t="s">
        <v>112</v>
      </c>
      <c r="F113" s="344"/>
      <c r="G113" s="344"/>
      <c r="H113" s="344"/>
      <c r="I113" s="344"/>
      <c r="J113" s="344"/>
      <c r="K113" s="344"/>
      <c r="L113" s="344"/>
      <c r="M113" s="345" t="s">
        <v>89</v>
      </c>
      <c r="N113" s="345"/>
      <c r="O113" s="345"/>
      <c r="P113" s="345"/>
      <c r="Q113" s="346" t="s">
        <v>93</v>
      </c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16"/>
    </row>
    <row r="114" spans="1:40" x14ac:dyDescent="0.25">
      <c r="A114" s="4">
        <v>6</v>
      </c>
      <c r="B114" s="7" t="s">
        <v>57</v>
      </c>
      <c r="C114" s="3" t="s">
        <v>82</v>
      </c>
      <c r="D114" s="37" t="s">
        <v>94</v>
      </c>
      <c r="E114" s="344"/>
      <c r="F114" s="344"/>
      <c r="G114" s="344"/>
      <c r="H114" s="344"/>
      <c r="I114" s="344"/>
      <c r="J114" s="344"/>
      <c r="K114" s="344"/>
      <c r="L114" s="344"/>
      <c r="M114" s="345" t="s">
        <v>89</v>
      </c>
      <c r="N114" s="345"/>
      <c r="O114" s="345"/>
      <c r="P114" s="345"/>
      <c r="Q114" s="346" t="s">
        <v>95</v>
      </c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16"/>
    </row>
    <row r="115" spans="1:40" x14ac:dyDescent="0.25">
      <c r="A115" s="4">
        <v>7</v>
      </c>
      <c r="B115" s="7" t="s">
        <v>37</v>
      </c>
      <c r="C115" s="3" t="s">
        <v>82</v>
      </c>
      <c r="D115" s="37" t="s">
        <v>96</v>
      </c>
      <c r="E115" s="344"/>
      <c r="F115" s="344"/>
      <c r="G115" s="344"/>
      <c r="H115" s="344"/>
      <c r="I115" s="344"/>
      <c r="J115" s="344"/>
      <c r="K115" s="344"/>
      <c r="L115" s="344"/>
      <c r="M115" s="345" t="s">
        <v>89</v>
      </c>
      <c r="N115" s="345"/>
      <c r="O115" s="345"/>
      <c r="P115" s="345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347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16"/>
    </row>
    <row r="116" spans="1:40" x14ac:dyDescent="0.25">
      <c r="A116" s="4">
        <v>8</v>
      </c>
      <c r="B116" s="7" t="s">
        <v>108</v>
      </c>
      <c r="C116" s="3" t="s">
        <v>82</v>
      </c>
      <c r="D116" s="37" t="s">
        <v>109</v>
      </c>
      <c r="E116" s="352"/>
      <c r="F116" s="353"/>
      <c r="G116" s="353"/>
      <c r="H116" s="353"/>
      <c r="I116" s="353"/>
      <c r="J116" s="353"/>
      <c r="K116" s="353"/>
      <c r="L116" s="354"/>
      <c r="M116" s="345" t="s">
        <v>89</v>
      </c>
      <c r="N116" s="345"/>
      <c r="O116" s="345"/>
      <c r="P116" s="345"/>
      <c r="Q116" s="355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7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16"/>
    </row>
    <row r="117" spans="1:40" x14ac:dyDescent="0.25">
      <c r="A117" s="4">
        <v>9</v>
      </c>
      <c r="B117" s="7" t="s">
        <v>110</v>
      </c>
      <c r="C117" s="3" t="s">
        <v>82</v>
      </c>
      <c r="D117" s="37" t="s">
        <v>111</v>
      </c>
      <c r="E117" s="352"/>
      <c r="F117" s="353"/>
      <c r="G117" s="353"/>
      <c r="H117" s="353"/>
      <c r="I117" s="353"/>
      <c r="J117" s="353"/>
      <c r="K117" s="353"/>
      <c r="L117" s="354"/>
      <c r="M117" s="345" t="s">
        <v>89</v>
      </c>
      <c r="N117" s="345"/>
      <c r="O117" s="345"/>
      <c r="P117" s="345"/>
      <c r="Q117" s="355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7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16"/>
    </row>
    <row r="118" spans="1:40" x14ac:dyDescent="0.25">
      <c r="A118" s="4">
        <v>10</v>
      </c>
      <c r="B118" s="7" t="s">
        <v>84</v>
      </c>
      <c r="C118" s="3" t="s">
        <v>82</v>
      </c>
      <c r="D118" s="38" t="s">
        <v>97</v>
      </c>
      <c r="E118" s="344" t="s">
        <v>87</v>
      </c>
      <c r="F118" s="344"/>
      <c r="G118" s="344"/>
      <c r="H118" s="344"/>
      <c r="I118" s="344"/>
      <c r="J118" s="344"/>
      <c r="K118" s="344"/>
      <c r="L118" s="344"/>
      <c r="M118" s="345" t="s">
        <v>89</v>
      </c>
      <c r="N118" s="345"/>
      <c r="O118" s="345"/>
      <c r="P118" s="345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  <c r="AA118" s="347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16"/>
    </row>
  </sheetData>
  <mergeCells count="59">
    <mergeCell ref="A29:AM29"/>
    <mergeCell ref="C1:F1"/>
    <mergeCell ref="C2:F2"/>
    <mergeCell ref="C3:F3"/>
    <mergeCell ref="A4:A5"/>
    <mergeCell ref="B4:B5"/>
    <mergeCell ref="C4:C5"/>
    <mergeCell ref="D4:D5"/>
    <mergeCell ref="E4:E5"/>
    <mergeCell ref="AK4:AL4"/>
    <mergeCell ref="A9:E9"/>
    <mergeCell ref="A28:E28"/>
    <mergeCell ref="A10:AM10"/>
    <mergeCell ref="A6:AM6"/>
    <mergeCell ref="A89:E89"/>
    <mergeCell ref="A38:E38"/>
    <mergeCell ref="A39:AM39"/>
    <mergeCell ref="A51:E51"/>
    <mergeCell ref="A52:AM52"/>
    <mergeCell ref="A61:E61"/>
    <mergeCell ref="A62:AM62"/>
    <mergeCell ref="A64:E64"/>
    <mergeCell ref="A65:AM65"/>
    <mergeCell ref="A71:E71"/>
    <mergeCell ref="A77:E77"/>
    <mergeCell ref="A83:E83"/>
    <mergeCell ref="A90:E90"/>
    <mergeCell ref="C108:P108"/>
    <mergeCell ref="Q108:AA108"/>
    <mergeCell ref="E109:L109"/>
    <mergeCell ref="M109:P109"/>
    <mergeCell ref="Q109:AA109"/>
    <mergeCell ref="E110:L110"/>
    <mergeCell ref="M110:P110"/>
    <mergeCell ref="Q110:AA110"/>
    <mergeCell ref="E111:L111"/>
    <mergeCell ref="M111:P111"/>
    <mergeCell ref="Q111:AA111"/>
    <mergeCell ref="E112:L112"/>
    <mergeCell ref="M112:P112"/>
    <mergeCell ref="Q112:AA112"/>
    <mergeCell ref="E113:L113"/>
    <mergeCell ref="M113:P113"/>
    <mergeCell ref="Q113:AA113"/>
    <mergeCell ref="E114:L114"/>
    <mergeCell ref="M114:P114"/>
    <mergeCell ref="Q114:AA114"/>
    <mergeCell ref="E115:L115"/>
    <mergeCell ref="M115:P115"/>
    <mergeCell ref="Q115:AA115"/>
    <mergeCell ref="E118:L118"/>
    <mergeCell ref="M118:P118"/>
    <mergeCell ref="Q118:AA118"/>
    <mergeCell ref="E116:L116"/>
    <mergeCell ref="M116:P116"/>
    <mergeCell ref="Q116:AA116"/>
    <mergeCell ref="E117:L117"/>
    <mergeCell ref="M117:P117"/>
    <mergeCell ref="Q117:AA117"/>
  </mergeCells>
  <pageMargins left="0.7" right="0.7" top="0.75" bottom="0.75" header="0.3" footer="0.3"/>
  <pageSetup paperSize="9" orientation="portrait" r:id="rId1"/>
  <ignoredErrors>
    <ignoredError sqref="A92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B8B7"/>
  </sheetPr>
  <dimension ref="A1:AQ118"/>
  <sheetViews>
    <sheetView zoomScale="59" zoomScaleNormal="59" workbookViewId="0">
      <pane ySplit="5" topLeftCell="A16" activePane="bottomLeft" state="frozen"/>
      <selection pane="bottomLeft" activeCell="Q19" sqref="Q19"/>
    </sheetView>
  </sheetViews>
  <sheetFormatPr defaultRowHeight="15" x14ac:dyDescent="0.25"/>
  <cols>
    <col min="1" max="1" width="12" bestFit="1" customWidth="1"/>
    <col min="2" max="2" width="39.5703125" customWidth="1"/>
    <col min="3" max="3" width="48" customWidth="1"/>
    <col min="4" max="4" width="20.140625" customWidth="1"/>
    <col min="5" max="5" width="7" customWidth="1"/>
    <col min="6" max="6" width="4.85546875" customWidth="1"/>
    <col min="7" max="35" width="4.7109375" customWidth="1"/>
    <col min="36" max="36" width="8.28515625" customWidth="1"/>
    <col min="37" max="37" width="13.140625" customWidth="1"/>
    <col min="38" max="38" width="18.85546875" customWidth="1"/>
    <col min="39" max="39" width="34" customWidth="1"/>
    <col min="40" max="40" width="40.28515625" customWidth="1"/>
  </cols>
  <sheetData>
    <row r="1" spans="1:43" ht="36" customHeight="1" x14ac:dyDescent="0.25">
      <c r="A1" t="s">
        <v>147</v>
      </c>
      <c r="B1" s="53" t="s">
        <v>154</v>
      </c>
      <c r="C1" s="358" t="s">
        <v>217</v>
      </c>
      <c r="D1" s="358"/>
      <c r="E1" s="358"/>
      <c r="F1" s="358"/>
    </row>
    <row r="2" spans="1:43" ht="36.75" customHeight="1" x14ac:dyDescent="0.25">
      <c r="B2" s="53" t="s">
        <v>156</v>
      </c>
      <c r="C2" s="359" t="s">
        <v>157</v>
      </c>
      <c r="D2" s="359"/>
      <c r="E2" s="359"/>
      <c r="F2" s="359"/>
    </row>
    <row r="3" spans="1:43" ht="37.5" customHeight="1" thickBot="1" x14ac:dyDescent="0.3">
      <c r="B3" s="53" t="s">
        <v>158</v>
      </c>
      <c r="C3" s="360" t="s">
        <v>159</v>
      </c>
      <c r="D3" s="360"/>
      <c r="E3" s="360"/>
      <c r="F3" s="360"/>
    </row>
    <row r="4" spans="1:43" ht="32.25" customHeight="1" thickBot="1" x14ac:dyDescent="0.3">
      <c r="A4" s="376" t="s">
        <v>153</v>
      </c>
      <c r="B4" s="361" t="s">
        <v>160</v>
      </c>
      <c r="C4" s="361" t="s">
        <v>183</v>
      </c>
      <c r="D4" s="361" t="s">
        <v>184</v>
      </c>
      <c r="E4" s="361" t="s">
        <v>185</v>
      </c>
      <c r="F4" s="234">
        <v>1</v>
      </c>
      <c r="G4" s="235">
        <v>2</v>
      </c>
      <c r="H4" s="235">
        <v>3</v>
      </c>
      <c r="I4" s="235">
        <v>4</v>
      </c>
      <c r="J4" s="235">
        <v>5</v>
      </c>
      <c r="K4" s="235">
        <v>6</v>
      </c>
      <c r="L4" s="235">
        <v>7</v>
      </c>
      <c r="M4" s="235">
        <v>8</v>
      </c>
      <c r="N4" s="235">
        <v>9</v>
      </c>
      <c r="O4" s="235">
        <v>10</v>
      </c>
      <c r="P4" s="235">
        <v>11</v>
      </c>
      <c r="Q4" s="235">
        <v>12</v>
      </c>
      <c r="R4" s="235">
        <v>13</v>
      </c>
      <c r="S4" s="235">
        <v>14</v>
      </c>
      <c r="T4" s="235">
        <v>15</v>
      </c>
      <c r="U4" s="235">
        <v>16</v>
      </c>
      <c r="V4" s="235">
        <v>17</v>
      </c>
      <c r="W4" s="235">
        <v>18</v>
      </c>
      <c r="X4" s="235">
        <v>19</v>
      </c>
      <c r="Y4" s="235">
        <v>20</v>
      </c>
      <c r="Z4" s="235">
        <v>21</v>
      </c>
      <c r="AA4" s="235">
        <v>22</v>
      </c>
      <c r="AB4" s="235">
        <v>23</v>
      </c>
      <c r="AC4" s="235">
        <v>24</v>
      </c>
      <c r="AD4" s="235">
        <v>25</v>
      </c>
      <c r="AE4" s="235">
        <v>26</v>
      </c>
      <c r="AF4" s="235">
        <v>27</v>
      </c>
      <c r="AG4" s="235">
        <v>28</v>
      </c>
      <c r="AH4" s="235">
        <v>29</v>
      </c>
      <c r="AI4" s="235">
        <v>30</v>
      </c>
      <c r="AJ4" s="363" t="s">
        <v>186</v>
      </c>
      <c r="AK4" s="364"/>
      <c r="AL4" s="202"/>
    </row>
    <row r="5" spans="1:43" ht="32.25" customHeight="1" thickBot="1" x14ac:dyDescent="0.3">
      <c r="A5" s="399"/>
      <c r="B5" s="400"/>
      <c r="C5" s="400"/>
      <c r="D5" s="400"/>
      <c r="E5" s="400"/>
      <c r="F5" s="242" t="s">
        <v>167</v>
      </c>
      <c r="G5" s="242" t="s">
        <v>161</v>
      </c>
      <c r="H5" s="242" t="s">
        <v>162</v>
      </c>
      <c r="I5" s="242" t="s">
        <v>163</v>
      </c>
      <c r="J5" s="242" t="s">
        <v>164</v>
      </c>
      <c r="K5" s="257" t="s">
        <v>165</v>
      </c>
      <c r="L5" s="257" t="s">
        <v>166</v>
      </c>
      <c r="M5" s="242" t="s">
        <v>167</v>
      </c>
      <c r="N5" s="242" t="s">
        <v>161</v>
      </c>
      <c r="O5" s="242" t="s">
        <v>162</v>
      </c>
      <c r="P5" s="242" t="s">
        <v>163</v>
      </c>
      <c r="Q5" s="242" t="s">
        <v>164</v>
      </c>
      <c r="R5" s="257" t="s">
        <v>165</v>
      </c>
      <c r="S5" s="257" t="s">
        <v>166</v>
      </c>
      <c r="T5" s="242" t="s">
        <v>167</v>
      </c>
      <c r="U5" s="242" t="s">
        <v>161</v>
      </c>
      <c r="V5" s="242" t="s">
        <v>162</v>
      </c>
      <c r="W5" s="242" t="s">
        <v>163</v>
      </c>
      <c r="X5" s="242" t="s">
        <v>164</v>
      </c>
      <c r="Y5" s="257" t="s">
        <v>165</v>
      </c>
      <c r="Z5" s="257" t="s">
        <v>166</v>
      </c>
      <c r="AA5" s="242" t="s">
        <v>167</v>
      </c>
      <c r="AB5" s="242" t="s">
        <v>161</v>
      </c>
      <c r="AC5" s="242" t="s">
        <v>162</v>
      </c>
      <c r="AD5" s="242" t="s">
        <v>163</v>
      </c>
      <c r="AE5" s="242" t="s">
        <v>164</v>
      </c>
      <c r="AF5" s="257" t="s">
        <v>165</v>
      </c>
      <c r="AG5" s="257" t="s">
        <v>166</v>
      </c>
      <c r="AH5" s="242" t="s">
        <v>167</v>
      </c>
      <c r="AI5" s="242" t="s">
        <v>161</v>
      </c>
      <c r="AJ5" s="76" t="s">
        <v>168</v>
      </c>
      <c r="AK5" s="77" t="s">
        <v>169</v>
      </c>
      <c r="AL5" s="203"/>
    </row>
    <row r="6" spans="1:43" ht="32.25" customHeight="1" thickBot="1" x14ac:dyDescent="0.3">
      <c r="A6" s="384" t="s">
        <v>197</v>
      </c>
      <c r="B6" s="385"/>
      <c r="C6" s="385"/>
      <c r="D6" s="385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85"/>
      <c r="AE6" s="385"/>
      <c r="AF6" s="385"/>
      <c r="AG6" s="385"/>
      <c r="AH6" s="385"/>
      <c r="AI6" s="385"/>
      <c r="AJ6" s="385"/>
      <c r="AK6" s="385"/>
      <c r="AL6" s="386"/>
    </row>
    <row r="7" spans="1:43" ht="35.1" customHeight="1" x14ac:dyDescent="0.25">
      <c r="A7" s="101">
        <v>1</v>
      </c>
      <c r="B7" s="70" t="s">
        <v>0</v>
      </c>
      <c r="C7" s="71" t="s">
        <v>101</v>
      </c>
      <c r="D7" s="71" t="s">
        <v>1</v>
      </c>
      <c r="E7" s="91" t="s">
        <v>2</v>
      </c>
      <c r="F7" s="88">
        <v>8</v>
      </c>
      <c r="G7" s="35">
        <v>8</v>
      </c>
      <c r="H7" s="35">
        <v>8</v>
      </c>
      <c r="I7" s="35">
        <v>8</v>
      </c>
      <c r="J7" s="35">
        <v>8</v>
      </c>
      <c r="K7" s="89"/>
      <c r="L7" s="89"/>
      <c r="M7" s="35">
        <v>8</v>
      </c>
      <c r="N7" s="35">
        <v>8</v>
      </c>
      <c r="O7" s="35">
        <v>8</v>
      </c>
      <c r="P7" s="35">
        <v>8</v>
      </c>
      <c r="Q7" s="35">
        <v>8</v>
      </c>
      <c r="R7" s="89"/>
      <c r="S7" s="89"/>
      <c r="T7" s="35">
        <v>8</v>
      </c>
      <c r="U7" s="35">
        <v>8</v>
      </c>
      <c r="V7" s="35">
        <v>8</v>
      </c>
      <c r="W7" s="35">
        <v>8</v>
      </c>
      <c r="X7" s="35">
        <v>8</v>
      </c>
      <c r="Y7" s="206">
        <v>8</v>
      </c>
      <c r="Z7" s="206">
        <v>8</v>
      </c>
      <c r="AA7" s="35">
        <v>8</v>
      </c>
      <c r="AB7" s="35">
        <v>8</v>
      </c>
      <c r="AC7" s="35">
        <v>8</v>
      </c>
      <c r="AD7" s="35">
        <v>8</v>
      </c>
      <c r="AE7" s="35">
        <v>8</v>
      </c>
      <c r="AF7" s="206">
        <v>8</v>
      </c>
      <c r="AG7" s="89"/>
      <c r="AH7" s="35">
        <v>8</v>
      </c>
      <c r="AI7" s="35">
        <v>8</v>
      </c>
      <c r="AJ7" s="105">
        <f>SUM(F7:AI7)</f>
        <v>200</v>
      </c>
      <c r="AK7" s="215">
        <f t="shared" ref="AK7:AK30" si="0">AJ7/8</f>
        <v>25</v>
      </c>
      <c r="AL7" s="222"/>
      <c r="AM7" s="15" t="s">
        <v>131</v>
      </c>
    </row>
    <row r="8" spans="1:43" ht="36.6" customHeight="1" thickBot="1" x14ac:dyDescent="0.3">
      <c r="A8" s="68">
        <v>2</v>
      </c>
      <c r="B8" s="98" t="s">
        <v>102</v>
      </c>
      <c r="C8" s="41" t="s">
        <v>103</v>
      </c>
      <c r="D8" s="99" t="s">
        <v>107</v>
      </c>
      <c r="E8" s="74" t="s">
        <v>2</v>
      </c>
      <c r="F8" s="100">
        <v>8</v>
      </c>
      <c r="G8" s="34">
        <v>8</v>
      </c>
      <c r="H8" s="34">
        <v>8</v>
      </c>
      <c r="I8" s="34">
        <v>8</v>
      </c>
      <c r="J8" s="34">
        <v>8</v>
      </c>
      <c r="K8" s="65"/>
      <c r="L8" s="65"/>
      <c r="M8" s="34">
        <v>8</v>
      </c>
      <c r="N8" s="34">
        <v>8</v>
      </c>
      <c r="O8" s="34">
        <v>8</v>
      </c>
      <c r="P8" s="34">
        <v>8</v>
      </c>
      <c r="Q8" s="34">
        <v>8</v>
      </c>
      <c r="R8" s="65"/>
      <c r="S8" s="65"/>
      <c r="T8" s="34">
        <v>8</v>
      </c>
      <c r="U8" s="34">
        <v>8</v>
      </c>
      <c r="V8" s="34">
        <v>8</v>
      </c>
      <c r="W8" s="34">
        <v>8</v>
      </c>
      <c r="X8" s="34">
        <v>8</v>
      </c>
      <c r="Y8" s="65"/>
      <c r="Z8" s="65"/>
      <c r="AA8" s="34">
        <v>8</v>
      </c>
      <c r="AB8" s="35">
        <v>8</v>
      </c>
      <c r="AC8" s="35">
        <v>8</v>
      </c>
      <c r="AD8" s="34">
        <v>8</v>
      </c>
      <c r="AE8" s="34">
        <v>8</v>
      </c>
      <c r="AF8" s="89"/>
      <c r="AG8" s="89"/>
      <c r="AH8" s="34">
        <v>8</v>
      </c>
      <c r="AI8" s="35">
        <v>8</v>
      </c>
      <c r="AJ8" s="76">
        <f>SUM(F8:AI8)</f>
        <v>176</v>
      </c>
      <c r="AK8" s="241">
        <f t="shared" si="0"/>
        <v>22</v>
      </c>
      <c r="AL8" s="258">
        <f>AJ8*346.590900909</f>
        <v>60999.998559984007</v>
      </c>
      <c r="AM8" s="15" t="s">
        <v>131</v>
      </c>
      <c r="AQ8" s="2"/>
    </row>
    <row r="9" spans="1:43" ht="24.75" customHeight="1" thickBot="1" x14ac:dyDescent="0.3">
      <c r="A9" s="371" t="s">
        <v>24</v>
      </c>
      <c r="B9" s="372"/>
      <c r="C9" s="372"/>
      <c r="D9" s="372"/>
      <c r="E9" s="373"/>
      <c r="F9" s="85">
        <f>COUNT(F7:F8)</f>
        <v>2</v>
      </c>
      <c r="G9" s="66">
        <f t="shared" ref="G9:AI9" si="1">COUNT(G7:G8)</f>
        <v>2</v>
      </c>
      <c r="H9" s="66">
        <f t="shared" si="1"/>
        <v>2</v>
      </c>
      <c r="I9" s="66">
        <f t="shared" si="1"/>
        <v>2</v>
      </c>
      <c r="J9" s="66">
        <f t="shared" si="1"/>
        <v>2</v>
      </c>
      <c r="K9" s="66">
        <f t="shared" si="1"/>
        <v>0</v>
      </c>
      <c r="L9" s="66">
        <f t="shared" si="1"/>
        <v>0</v>
      </c>
      <c r="M9" s="66">
        <f t="shared" si="1"/>
        <v>2</v>
      </c>
      <c r="N9" s="66">
        <f t="shared" si="1"/>
        <v>2</v>
      </c>
      <c r="O9" s="66">
        <f t="shared" si="1"/>
        <v>2</v>
      </c>
      <c r="P9" s="66">
        <f t="shared" si="1"/>
        <v>2</v>
      </c>
      <c r="Q9" s="66">
        <f t="shared" si="1"/>
        <v>2</v>
      </c>
      <c r="R9" s="66">
        <f t="shared" si="1"/>
        <v>0</v>
      </c>
      <c r="S9" s="66">
        <f t="shared" si="1"/>
        <v>0</v>
      </c>
      <c r="T9" s="66">
        <f t="shared" si="1"/>
        <v>2</v>
      </c>
      <c r="U9" s="66">
        <f t="shared" si="1"/>
        <v>2</v>
      </c>
      <c r="V9" s="66">
        <f t="shared" si="1"/>
        <v>2</v>
      </c>
      <c r="W9" s="66">
        <f t="shared" si="1"/>
        <v>2</v>
      </c>
      <c r="X9" s="66">
        <f t="shared" si="1"/>
        <v>2</v>
      </c>
      <c r="Y9" s="66">
        <f t="shared" si="1"/>
        <v>1</v>
      </c>
      <c r="Z9" s="66">
        <f t="shared" si="1"/>
        <v>1</v>
      </c>
      <c r="AA9" s="66">
        <f t="shared" si="1"/>
        <v>2</v>
      </c>
      <c r="AB9" s="66">
        <f t="shared" si="1"/>
        <v>2</v>
      </c>
      <c r="AC9" s="66">
        <f t="shared" si="1"/>
        <v>2</v>
      </c>
      <c r="AD9" s="66">
        <f t="shared" si="1"/>
        <v>2</v>
      </c>
      <c r="AE9" s="66">
        <f t="shared" si="1"/>
        <v>2</v>
      </c>
      <c r="AF9" s="66">
        <f t="shared" si="1"/>
        <v>1</v>
      </c>
      <c r="AG9" s="66">
        <f t="shared" si="1"/>
        <v>0</v>
      </c>
      <c r="AH9" s="66">
        <f t="shared" si="1"/>
        <v>2</v>
      </c>
      <c r="AI9" s="66">
        <f t="shared" si="1"/>
        <v>2</v>
      </c>
      <c r="AJ9" s="85">
        <f>SUM(AJ7:AJ8)</f>
        <v>376</v>
      </c>
      <c r="AK9" s="67">
        <f>SUM(AK7:AK8)</f>
        <v>47</v>
      </c>
      <c r="AL9" s="281">
        <f>AM9-AL8</f>
        <v>1.4400159925571643E-3</v>
      </c>
      <c r="AM9" s="310">
        <v>61000</v>
      </c>
    </row>
    <row r="10" spans="1:43" ht="35.1" customHeight="1" thickBot="1" x14ac:dyDescent="0.3">
      <c r="A10" s="384" t="s">
        <v>187</v>
      </c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85"/>
      <c r="AD10" s="385"/>
      <c r="AE10" s="385"/>
      <c r="AF10" s="385"/>
      <c r="AG10" s="385"/>
      <c r="AH10" s="385"/>
      <c r="AI10" s="385"/>
      <c r="AJ10" s="385"/>
      <c r="AK10" s="385"/>
      <c r="AL10" s="386"/>
      <c r="AM10" s="15"/>
    </row>
    <row r="11" spans="1:43" ht="35.1" customHeight="1" x14ac:dyDescent="0.25">
      <c r="A11" s="101">
        <v>3</v>
      </c>
      <c r="B11" s="70" t="s">
        <v>143</v>
      </c>
      <c r="C11" s="71" t="s">
        <v>130</v>
      </c>
      <c r="D11" s="102" t="s">
        <v>144</v>
      </c>
      <c r="E11" s="91" t="s">
        <v>2</v>
      </c>
      <c r="F11" s="88">
        <v>8</v>
      </c>
      <c r="G11" s="35">
        <v>8</v>
      </c>
      <c r="H11" s="35">
        <v>8</v>
      </c>
      <c r="I11" s="35">
        <v>8</v>
      </c>
      <c r="J11" s="35">
        <v>8</v>
      </c>
      <c r="K11" s="89"/>
      <c r="L11" s="89"/>
      <c r="M11" s="35">
        <v>8</v>
      </c>
      <c r="N11" s="35">
        <v>8</v>
      </c>
      <c r="O11" s="35">
        <v>8</v>
      </c>
      <c r="P11" s="35">
        <v>8</v>
      </c>
      <c r="Q11" s="35">
        <v>8</v>
      </c>
      <c r="R11" s="89"/>
      <c r="S11" s="89"/>
      <c r="T11" s="35">
        <v>8</v>
      </c>
      <c r="U11" s="35">
        <v>8</v>
      </c>
      <c r="V11" s="35">
        <v>8</v>
      </c>
      <c r="W11" s="35">
        <v>8</v>
      </c>
      <c r="X11" s="35">
        <v>8</v>
      </c>
      <c r="Y11" s="89"/>
      <c r="Z11" s="89"/>
      <c r="AA11" s="35">
        <v>8</v>
      </c>
      <c r="AB11" s="35">
        <v>8</v>
      </c>
      <c r="AC11" s="35">
        <v>8</v>
      </c>
      <c r="AD11" s="35">
        <v>8</v>
      </c>
      <c r="AE11" s="35">
        <v>8</v>
      </c>
      <c r="AF11" s="89"/>
      <c r="AG11" s="89"/>
      <c r="AH11" s="35">
        <v>8</v>
      </c>
      <c r="AI11" s="35">
        <v>8</v>
      </c>
      <c r="AJ11" s="83">
        <f t="shared" ref="AJ11:AJ23" si="2">SUM(F11:AI11)</f>
        <v>176</v>
      </c>
      <c r="AK11" s="215">
        <f>AJ11/8</f>
        <v>22</v>
      </c>
      <c r="AL11" s="245">
        <f>AJ11*519.318181817</f>
        <v>91399.999999791995</v>
      </c>
      <c r="AM11" s="15"/>
    </row>
    <row r="12" spans="1:43" ht="35.1" customHeight="1" x14ac:dyDescent="0.25">
      <c r="A12" s="101">
        <v>4</v>
      </c>
      <c r="B12" s="47" t="s">
        <v>10</v>
      </c>
      <c r="C12" s="40" t="s">
        <v>8</v>
      </c>
      <c r="D12" s="40" t="s">
        <v>11</v>
      </c>
      <c r="E12" s="73" t="s">
        <v>2</v>
      </c>
      <c r="F12" s="299" t="s">
        <v>170</v>
      </c>
      <c r="G12" s="299" t="s">
        <v>170</v>
      </c>
      <c r="H12" s="299" t="s">
        <v>170</v>
      </c>
      <c r="I12" s="299" t="s">
        <v>170</v>
      </c>
      <c r="J12" s="299" t="s">
        <v>170</v>
      </c>
      <c r="K12" s="299" t="s">
        <v>170</v>
      </c>
      <c r="L12" s="299" t="s">
        <v>170</v>
      </c>
      <c r="M12" s="299" t="s">
        <v>170</v>
      </c>
      <c r="N12" s="299" t="s">
        <v>170</v>
      </c>
      <c r="O12" s="299" t="s">
        <v>170</v>
      </c>
      <c r="P12" s="299" t="s">
        <v>170</v>
      </c>
      <c r="Q12" s="299" t="s">
        <v>170</v>
      </c>
      <c r="R12" s="299" t="s">
        <v>170</v>
      </c>
      <c r="S12" s="299" t="s">
        <v>170</v>
      </c>
      <c r="T12" s="34">
        <v>8</v>
      </c>
      <c r="U12" s="34">
        <v>8</v>
      </c>
      <c r="V12" s="34">
        <v>8</v>
      </c>
      <c r="W12" s="34">
        <v>8</v>
      </c>
      <c r="X12" s="34">
        <v>8</v>
      </c>
      <c r="Y12" s="65"/>
      <c r="Z12" s="65"/>
      <c r="AA12" s="34">
        <v>8</v>
      </c>
      <c r="AB12" s="34">
        <v>8</v>
      </c>
      <c r="AC12" s="34">
        <v>8</v>
      </c>
      <c r="AD12" s="34">
        <v>8</v>
      </c>
      <c r="AE12" s="34">
        <v>8</v>
      </c>
      <c r="AF12" s="65"/>
      <c r="AG12" s="65"/>
      <c r="AH12" s="34">
        <v>8</v>
      </c>
      <c r="AI12" s="34">
        <v>8</v>
      </c>
      <c r="AJ12" s="82">
        <f t="shared" si="2"/>
        <v>96</v>
      </c>
      <c r="AK12" s="214">
        <f>AJ12/8</f>
        <v>12</v>
      </c>
      <c r="AL12" s="243">
        <f>AJ12*340.909090908</f>
        <v>32727.272727167998</v>
      </c>
      <c r="AM12" s="15"/>
    </row>
    <row r="13" spans="1:43" ht="35.1" customHeight="1" x14ac:dyDescent="0.25">
      <c r="A13" s="101">
        <v>5</v>
      </c>
      <c r="B13" s="6" t="s">
        <v>3</v>
      </c>
      <c r="C13" s="40" t="s">
        <v>4</v>
      </c>
      <c r="D13" s="40" t="s">
        <v>5</v>
      </c>
      <c r="E13" s="73" t="s">
        <v>23</v>
      </c>
      <c r="F13" s="30"/>
      <c r="G13" s="26">
        <v>11</v>
      </c>
      <c r="H13" s="34">
        <v>11</v>
      </c>
      <c r="I13" s="28"/>
      <c r="J13" s="30"/>
      <c r="K13" s="26">
        <v>11</v>
      </c>
      <c r="L13" s="27">
        <v>11</v>
      </c>
      <c r="M13" s="28"/>
      <c r="N13" s="32"/>
      <c r="O13" s="34">
        <v>11</v>
      </c>
      <c r="P13" s="27">
        <v>11</v>
      </c>
      <c r="Q13" s="28"/>
      <c r="R13" s="64"/>
      <c r="S13" s="27">
        <v>11</v>
      </c>
      <c r="T13" s="27">
        <v>11</v>
      </c>
      <c r="U13" s="32"/>
      <c r="V13" s="32"/>
      <c r="W13" s="27">
        <v>11</v>
      </c>
      <c r="X13" s="27">
        <v>11</v>
      </c>
      <c r="Y13" s="64"/>
      <c r="Z13" s="64"/>
      <c r="AA13" s="27">
        <v>11</v>
      </c>
      <c r="AB13" s="34">
        <v>11</v>
      </c>
      <c r="AC13" s="32"/>
      <c r="AD13" s="28"/>
      <c r="AE13" s="27">
        <v>11</v>
      </c>
      <c r="AF13" s="27">
        <v>11</v>
      </c>
      <c r="AG13" s="64"/>
      <c r="AH13" s="28"/>
      <c r="AI13" s="34">
        <v>11</v>
      </c>
      <c r="AJ13" s="83">
        <f t="shared" si="2"/>
        <v>165</v>
      </c>
      <c r="AK13" s="214">
        <f t="shared" ref="AK13" si="3">AJ13/11</f>
        <v>15</v>
      </c>
      <c r="AL13" s="243">
        <f>AJ13*454.545454545</f>
        <v>74999.999999924999</v>
      </c>
      <c r="AM13" s="15" t="s">
        <v>124</v>
      </c>
    </row>
    <row r="14" spans="1:43" ht="35.1" customHeight="1" x14ac:dyDescent="0.25">
      <c r="A14" s="101">
        <v>6</v>
      </c>
      <c r="B14" s="6" t="s">
        <v>213</v>
      </c>
      <c r="C14" s="40" t="s">
        <v>6</v>
      </c>
      <c r="D14" s="40" t="s">
        <v>214</v>
      </c>
      <c r="E14" s="73" t="s">
        <v>2</v>
      </c>
      <c r="F14" s="26">
        <v>8</v>
      </c>
      <c r="G14" s="34">
        <v>8</v>
      </c>
      <c r="H14" s="34">
        <v>8</v>
      </c>
      <c r="I14" s="27">
        <v>8</v>
      </c>
      <c r="J14" s="27">
        <v>8</v>
      </c>
      <c r="K14" s="213">
        <v>8</v>
      </c>
      <c r="L14" s="64"/>
      <c r="M14" s="27">
        <v>8</v>
      </c>
      <c r="N14" s="34">
        <v>8</v>
      </c>
      <c r="O14" s="34">
        <v>8</v>
      </c>
      <c r="P14" s="35">
        <v>8</v>
      </c>
      <c r="Q14" s="35">
        <v>8</v>
      </c>
      <c r="R14" s="89"/>
      <c r="S14" s="206">
        <v>8</v>
      </c>
      <c r="T14" s="35">
        <v>8</v>
      </c>
      <c r="U14" s="34">
        <v>8</v>
      </c>
      <c r="V14" s="27">
        <v>8</v>
      </c>
      <c r="W14" s="35">
        <v>8</v>
      </c>
      <c r="X14" s="35">
        <v>8</v>
      </c>
      <c r="Y14" s="206">
        <v>8</v>
      </c>
      <c r="Z14" s="89"/>
      <c r="AA14" s="35">
        <v>8</v>
      </c>
      <c r="AB14" s="27">
        <v>8</v>
      </c>
      <c r="AC14" s="34">
        <v>8</v>
      </c>
      <c r="AD14" s="35">
        <v>8</v>
      </c>
      <c r="AE14" s="35">
        <v>8</v>
      </c>
      <c r="AF14" s="89"/>
      <c r="AG14" s="206">
        <v>8</v>
      </c>
      <c r="AH14" s="35">
        <v>8</v>
      </c>
      <c r="AI14" s="34">
        <v>8</v>
      </c>
      <c r="AJ14" s="82">
        <f t="shared" si="2"/>
        <v>208</v>
      </c>
      <c r="AK14" s="214">
        <f t="shared" si="0"/>
        <v>26</v>
      </c>
      <c r="AL14" s="243">
        <f>AK14*3409.09090909</f>
        <v>88636.36363634</v>
      </c>
      <c r="AM14" s="15" t="s">
        <v>124</v>
      </c>
    </row>
    <row r="15" spans="1:43" ht="35.1" customHeight="1" x14ac:dyDescent="0.25">
      <c r="A15" s="101">
        <v>7</v>
      </c>
      <c r="B15" s="6" t="s">
        <v>7</v>
      </c>
      <c r="C15" s="40" t="s">
        <v>6</v>
      </c>
      <c r="D15" s="40" t="s">
        <v>9</v>
      </c>
      <c r="E15" s="73" t="s">
        <v>2</v>
      </c>
      <c r="F15" s="26">
        <v>8</v>
      </c>
      <c r="G15" s="34">
        <v>8</v>
      </c>
      <c r="H15" s="34">
        <v>8</v>
      </c>
      <c r="I15" s="27">
        <v>8</v>
      </c>
      <c r="J15" s="27">
        <v>8</v>
      </c>
      <c r="K15" s="64"/>
      <c r="L15" s="64"/>
      <c r="M15" s="27">
        <v>8</v>
      </c>
      <c r="N15" s="34">
        <v>8</v>
      </c>
      <c r="O15" s="34">
        <v>8</v>
      </c>
      <c r="P15" s="35">
        <v>8</v>
      </c>
      <c r="Q15" s="35">
        <v>8</v>
      </c>
      <c r="R15" s="89"/>
      <c r="S15" s="89"/>
      <c r="T15" s="35">
        <v>8</v>
      </c>
      <c r="U15" s="27">
        <v>8</v>
      </c>
      <c r="V15" s="35">
        <v>8</v>
      </c>
      <c r="W15" s="35">
        <v>8</v>
      </c>
      <c r="X15" s="35">
        <v>8</v>
      </c>
      <c r="Y15" s="89"/>
      <c r="Z15" s="89"/>
      <c r="AA15" s="35">
        <v>8</v>
      </c>
      <c r="AB15" s="35">
        <v>8</v>
      </c>
      <c r="AC15" s="27">
        <v>8</v>
      </c>
      <c r="AD15" s="35">
        <v>8</v>
      </c>
      <c r="AE15" s="35">
        <v>8</v>
      </c>
      <c r="AF15" s="206">
        <v>8</v>
      </c>
      <c r="AG15" s="206">
        <v>8</v>
      </c>
      <c r="AH15" s="35">
        <v>8</v>
      </c>
      <c r="AI15" s="292">
        <v>8</v>
      </c>
      <c r="AJ15" s="82">
        <f t="shared" si="2"/>
        <v>192</v>
      </c>
      <c r="AK15" s="214">
        <f t="shared" si="0"/>
        <v>24</v>
      </c>
      <c r="AL15" s="243">
        <f>AK15*3409.09090909</f>
        <v>81818.181818159996</v>
      </c>
      <c r="AM15" s="15" t="s">
        <v>124</v>
      </c>
    </row>
    <row r="16" spans="1:43" ht="35.1" customHeight="1" x14ac:dyDescent="0.25">
      <c r="A16" s="101">
        <v>8</v>
      </c>
      <c r="B16" s="6" t="s">
        <v>12</v>
      </c>
      <c r="C16" s="40" t="s">
        <v>8</v>
      </c>
      <c r="D16" s="40" t="s">
        <v>13</v>
      </c>
      <c r="E16" s="73" t="s">
        <v>2</v>
      </c>
      <c r="F16" s="26">
        <v>8</v>
      </c>
      <c r="G16" s="26">
        <v>8</v>
      </c>
      <c r="H16" s="26">
        <v>8</v>
      </c>
      <c r="I16" s="26">
        <v>8</v>
      </c>
      <c r="J16" s="26">
        <v>8</v>
      </c>
      <c r="K16" s="64"/>
      <c r="L16" s="64"/>
      <c r="M16" s="27">
        <v>8</v>
      </c>
      <c r="N16" s="27">
        <v>8</v>
      </c>
      <c r="O16" s="27">
        <v>8</v>
      </c>
      <c r="P16" s="27">
        <v>8</v>
      </c>
      <c r="Q16" s="27">
        <v>8</v>
      </c>
      <c r="R16" s="89"/>
      <c r="S16" s="89"/>
      <c r="T16" s="35">
        <v>8</v>
      </c>
      <c r="U16" s="35">
        <v>8</v>
      </c>
      <c r="V16" s="35">
        <v>8</v>
      </c>
      <c r="W16" s="35">
        <v>8</v>
      </c>
      <c r="X16" s="35">
        <v>8</v>
      </c>
      <c r="Y16" s="89"/>
      <c r="Z16" s="89"/>
      <c r="AA16" s="35">
        <v>8</v>
      </c>
      <c r="AB16" s="35">
        <v>8</v>
      </c>
      <c r="AC16" s="35">
        <v>8</v>
      </c>
      <c r="AD16" s="35">
        <v>8</v>
      </c>
      <c r="AE16" s="35">
        <v>8</v>
      </c>
      <c r="AF16" s="206">
        <v>8</v>
      </c>
      <c r="AG16" s="206">
        <v>8</v>
      </c>
      <c r="AH16" s="35">
        <v>8</v>
      </c>
      <c r="AI16" s="292">
        <v>8</v>
      </c>
      <c r="AJ16" s="82">
        <f t="shared" si="2"/>
        <v>192</v>
      </c>
      <c r="AK16" s="214">
        <f t="shared" si="0"/>
        <v>24</v>
      </c>
      <c r="AL16" s="243">
        <f>AJ16*340.909090908</f>
        <v>65454.545454335996</v>
      </c>
      <c r="AM16" s="15" t="s">
        <v>124</v>
      </c>
    </row>
    <row r="17" spans="1:40" ht="35.1" customHeight="1" x14ac:dyDescent="0.25">
      <c r="A17" s="101">
        <v>9</v>
      </c>
      <c r="B17" s="6" t="s">
        <v>14</v>
      </c>
      <c r="C17" s="40" t="s">
        <v>8</v>
      </c>
      <c r="D17" s="40" t="s">
        <v>15</v>
      </c>
      <c r="E17" s="73" t="s">
        <v>2</v>
      </c>
      <c r="F17" s="302" t="s">
        <v>170</v>
      </c>
      <c r="G17" s="302" t="s">
        <v>170</v>
      </c>
      <c r="H17" s="302" t="s">
        <v>170</v>
      </c>
      <c r="I17" s="302" t="s">
        <v>170</v>
      </c>
      <c r="J17" s="302" t="s">
        <v>170</v>
      </c>
      <c r="K17" s="302" t="s">
        <v>170</v>
      </c>
      <c r="L17" s="302" t="s">
        <v>170</v>
      </c>
      <c r="M17" s="27">
        <v>8</v>
      </c>
      <c r="N17" s="27">
        <v>8</v>
      </c>
      <c r="O17" s="27">
        <v>8</v>
      </c>
      <c r="P17" s="27">
        <v>8</v>
      </c>
      <c r="Q17" s="27">
        <v>8</v>
      </c>
      <c r="R17" s="206">
        <v>8</v>
      </c>
      <c r="S17" s="89"/>
      <c r="T17" s="35">
        <v>8</v>
      </c>
      <c r="U17" s="35">
        <v>8</v>
      </c>
      <c r="V17" s="35">
        <v>8</v>
      </c>
      <c r="W17" s="35">
        <v>8</v>
      </c>
      <c r="X17" s="35">
        <v>8</v>
      </c>
      <c r="Y17" s="89"/>
      <c r="Z17" s="206">
        <v>8</v>
      </c>
      <c r="AA17" s="35">
        <v>8</v>
      </c>
      <c r="AB17" s="35">
        <v>8</v>
      </c>
      <c r="AC17" s="35">
        <v>8</v>
      </c>
      <c r="AD17" s="35">
        <v>8</v>
      </c>
      <c r="AE17" s="35">
        <v>8</v>
      </c>
      <c r="AF17" s="206">
        <v>8</v>
      </c>
      <c r="AG17" s="206">
        <v>8</v>
      </c>
      <c r="AH17" s="35">
        <v>8</v>
      </c>
      <c r="AI17" s="35">
        <v>8</v>
      </c>
      <c r="AJ17" s="82">
        <f t="shared" si="2"/>
        <v>168</v>
      </c>
      <c r="AK17" s="214">
        <f t="shared" si="0"/>
        <v>21</v>
      </c>
      <c r="AL17" s="243">
        <f>AJ17*340.909090908</f>
        <v>57272.727272543998</v>
      </c>
      <c r="AM17" s="16"/>
    </row>
    <row r="18" spans="1:40" ht="34.9" customHeight="1" x14ac:dyDescent="0.25">
      <c r="A18" s="101">
        <v>10</v>
      </c>
      <c r="B18" s="6" t="s">
        <v>16</v>
      </c>
      <c r="C18" s="40" t="s">
        <v>8</v>
      </c>
      <c r="D18" s="40" t="s">
        <v>15</v>
      </c>
      <c r="E18" s="73" t="s">
        <v>2</v>
      </c>
      <c r="F18" s="302" t="s">
        <v>170</v>
      </c>
      <c r="G18" s="302" t="s">
        <v>170</v>
      </c>
      <c r="H18" s="302" t="s">
        <v>170</v>
      </c>
      <c r="I18" s="302" t="s">
        <v>170</v>
      </c>
      <c r="J18" s="302" t="s">
        <v>170</v>
      </c>
      <c r="K18" s="302" t="s">
        <v>170</v>
      </c>
      <c r="L18" s="302" t="s">
        <v>170</v>
      </c>
      <c r="M18" s="27">
        <v>8</v>
      </c>
      <c r="N18" s="27">
        <v>8</v>
      </c>
      <c r="O18" s="27">
        <v>8</v>
      </c>
      <c r="P18" s="27">
        <v>8</v>
      </c>
      <c r="Q18" s="27">
        <v>8</v>
      </c>
      <c r="R18" s="206">
        <v>8</v>
      </c>
      <c r="S18" s="89"/>
      <c r="T18" s="35">
        <v>8</v>
      </c>
      <c r="U18" s="35">
        <v>8</v>
      </c>
      <c r="V18" s="35">
        <v>8</v>
      </c>
      <c r="W18" s="35">
        <v>8</v>
      </c>
      <c r="X18" s="35">
        <v>8</v>
      </c>
      <c r="Y18" s="89"/>
      <c r="Z18" s="206">
        <v>8</v>
      </c>
      <c r="AA18" s="35">
        <v>8</v>
      </c>
      <c r="AB18" s="35">
        <v>8</v>
      </c>
      <c r="AC18" s="35">
        <v>8</v>
      </c>
      <c r="AD18" s="35">
        <v>8</v>
      </c>
      <c r="AE18" s="35">
        <v>8</v>
      </c>
      <c r="AF18" s="206">
        <v>8</v>
      </c>
      <c r="AG18" s="206">
        <v>8</v>
      </c>
      <c r="AH18" s="35">
        <v>8</v>
      </c>
      <c r="AI18" s="35">
        <v>8</v>
      </c>
      <c r="AJ18" s="82">
        <f t="shared" si="2"/>
        <v>168</v>
      </c>
      <c r="AK18" s="214">
        <f t="shared" si="0"/>
        <v>21</v>
      </c>
      <c r="AL18" s="243">
        <f t="shared" ref="AL18:AL23" si="4">AJ18*340.909090908</f>
        <v>57272.727272543998</v>
      </c>
      <c r="AM18" s="16"/>
    </row>
    <row r="19" spans="1:40" ht="35.1" customHeight="1" x14ac:dyDescent="0.25">
      <c r="A19" s="101">
        <v>11</v>
      </c>
      <c r="B19" s="6" t="s">
        <v>19</v>
      </c>
      <c r="C19" s="40" t="s">
        <v>8</v>
      </c>
      <c r="D19" s="40" t="s">
        <v>20</v>
      </c>
      <c r="E19" s="73" t="s">
        <v>2</v>
      </c>
      <c r="F19" s="26">
        <v>8</v>
      </c>
      <c r="G19" s="26">
        <v>8</v>
      </c>
      <c r="H19" s="26">
        <v>8</v>
      </c>
      <c r="I19" s="26">
        <v>8</v>
      </c>
      <c r="J19" s="26">
        <v>8</v>
      </c>
      <c r="K19" s="64"/>
      <c r="L19" s="64"/>
      <c r="M19" s="285" t="s">
        <v>172</v>
      </c>
      <c r="N19" s="285" t="s">
        <v>172</v>
      </c>
      <c r="O19" s="285" t="s">
        <v>172</v>
      </c>
      <c r="P19" s="285" t="s">
        <v>172</v>
      </c>
      <c r="Q19" s="285" t="s">
        <v>172</v>
      </c>
      <c r="R19" s="89"/>
      <c r="S19" s="89"/>
      <c r="T19" s="285" t="s">
        <v>172</v>
      </c>
      <c r="U19" s="285" t="s">
        <v>172</v>
      </c>
      <c r="V19" s="285" t="s">
        <v>172</v>
      </c>
      <c r="W19" s="285" t="s">
        <v>172</v>
      </c>
      <c r="X19" s="285" t="s">
        <v>172</v>
      </c>
      <c r="Y19" s="89"/>
      <c r="Z19" s="89"/>
      <c r="AA19" s="35">
        <v>8</v>
      </c>
      <c r="AB19" s="35">
        <v>8</v>
      </c>
      <c r="AC19" s="35">
        <v>8</v>
      </c>
      <c r="AD19" s="35">
        <v>8</v>
      </c>
      <c r="AE19" s="35">
        <v>8</v>
      </c>
      <c r="AF19" s="89"/>
      <c r="AG19" s="89"/>
      <c r="AH19" s="35">
        <v>8</v>
      </c>
      <c r="AI19" s="35">
        <v>8</v>
      </c>
      <c r="AJ19" s="82">
        <f t="shared" si="2"/>
        <v>96</v>
      </c>
      <c r="AK19" s="214">
        <f t="shared" si="0"/>
        <v>12</v>
      </c>
      <c r="AL19" s="243">
        <f t="shared" si="4"/>
        <v>32727.272727167998</v>
      </c>
      <c r="AM19" s="15" t="s">
        <v>124</v>
      </c>
    </row>
    <row r="20" spans="1:40" ht="35.1" customHeight="1" x14ac:dyDescent="0.25">
      <c r="A20" s="101">
        <v>12</v>
      </c>
      <c r="B20" s="6" t="s">
        <v>17</v>
      </c>
      <c r="C20" s="40" t="s">
        <v>8</v>
      </c>
      <c r="D20" s="40" t="s">
        <v>18</v>
      </c>
      <c r="E20" s="73" t="s">
        <v>2</v>
      </c>
      <c r="F20" s="26">
        <v>8</v>
      </c>
      <c r="G20" s="26">
        <v>8</v>
      </c>
      <c r="H20" s="26">
        <v>8</v>
      </c>
      <c r="I20" s="26">
        <v>8</v>
      </c>
      <c r="J20" s="26">
        <v>8</v>
      </c>
      <c r="K20" s="210"/>
      <c r="L20" s="210"/>
      <c r="M20" s="27">
        <v>8</v>
      </c>
      <c r="N20" s="27">
        <v>8</v>
      </c>
      <c r="O20" s="27">
        <v>8</v>
      </c>
      <c r="P20" s="27">
        <v>8</v>
      </c>
      <c r="Q20" s="27">
        <v>8</v>
      </c>
      <c r="R20" s="89"/>
      <c r="S20" s="89"/>
      <c r="T20" s="35">
        <v>8</v>
      </c>
      <c r="U20" s="35">
        <v>8</v>
      </c>
      <c r="V20" s="35">
        <v>8</v>
      </c>
      <c r="W20" s="35">
        <v>8</v>
      </c>
      <c r="X20" s="35">
        <v>8</v>
      </c>
      <c r="Y20" s="89"/>
      <c r="Z20" s="89"/>
      <c r="AA20" s="35">
        <v>8</v>
      </c>
      <c r="AB20" s="35">
        <v>8</v>
      </c>
      <c r="AC20" s="35">
        <v>8</v>
      </c>
      <c r="AD20" s="35">
        <v>8</v>
      </c>
      <c r="AE20" s="35">
        <v>8</v>
      </c>
      <c r="AF20" s="206">
        <v>8</v>
      </c>
      <c r="AG20" s="206">
        <v>8</v>
      </c>
      <c r="AH20" s="35">
        <v>8</v>
      </c>
      <c r="AI20" s="35">
        <v>8</v>
      </c>
      <c r="AJ20" s="82">
        <f t="shared" si="2"/>
        <v>192</v>
      </c>
      <c r="AK20" s="214">
        <f t="shared" si="0"/>
        <v>24</v>
      </c>
      <c r="AL20" s="243">
        <f t="shared" si="4"/>
        <v>65454.545454335996</v>
      </c>
      <c r="AM20" s="15" t="s">
        <v>124</v>
      </c>
    </row>
    <row r="21" spans="1:40" ht="35.1" customHeight="1" x14ac:dyDescent="0.25">
      <c r="A21" s="101">
        <v>13</v>
      </c>
      <c r="B21" s="6" t="s">
        <v>139</v>
      </c>
      <c r="C21" s="40" t="s">
        <v>8</v>
      </c>
      <c r="D21" s="40" t="s">
        <v>140</v>
      </c>
      <c r="E21" s="73" t="s">
        <v>2</v>
      </c>
      <c r="F21" s="26">
        <v>8</v>
      </c>
      <c r="G21" s="26">
        <v>8</v>
      </c>
      <c r="H21" s="26">
        <v>8</v>
      </c>
      <c r="I21" s="26">
        <v>8</v>
      </c>
      <c r="J21" s="26">
        <v>8</v>
      </c>
      <c r="K21" s="210"/>
      <c r="L21" s="210"/>
      <c r="M21" s="26">
        <v>8</v>
      </c>
      <c r="N21" s="26">
        <v>8</v>
      </c>
      <c r="O21" s="26">
        <v>8</v>
      </c>
      <c r="P21" s="26">
        <v>8</v>
      </c>
      <c r="Q21" s="26">
        <v>8</v>
      </c>
      <c r="R21" s="89"/>
      <c r="S21" s="89"/>
      <c r="T21" s="26">
        <v>8</v>
      </c>
      <c r="U21" s="26">
        <v>8</v>
      </c>
      <c r="V21" s="26">
        <v>8</v>
      </c>
      <c r="W21" s="26">
        <v>8</v>
      </c>
      <c r="X21" s="26">
        <v>8</v>
      </c>
      <c r="Y21" s="89"/>
      <c r="Z21" s="89"/>
      <c r="AA21" s="26">
        <v>8</v>
      </c>
      <c r="AB21" s="26">
        <v>8</v>
      </c>
      <c r="AC21" s="26">
        <v>8</v>
      </c>
      <c r="AD21" s="26">
        <v>8</v>
      </c>
      <c r="AE21" s="26">
        <v>8</v>
      </c>
      <c r="AF21" s="89"/>
      <c r="AG21" s="89"/>
      <c r="AH21" s="26">
        <v>8</v>
      </c>
      <c r="AI21" s="26">
        <v>8</v>
      </c>
      <c r="AJ21" s="82">
        <f t="shared" si="2"/>
        <v>176</v>
      </c>
      <c r="AK21" s="214">
        <f t="shared" si="0"/>
        <v>22</v>
      </c>
      <c r="AL21" s="243">
        <f t="shared" si="4"/>
        <v>59999.999999808002</v>
      </c>
      <c r="AM21" s="15"/>
    </row>
    <row r="22" spans="1:40" ht="35.1" customHeight="1" x14ac:dyDescent="0.25">
      <c r="A22" s="101">
        <v>14</v>
      </c>
      <c r="B22" s="6" t="s">
        <v>219</v>
      </c>
      <c r="C22" s="40" t="s">
        <v>8</v>
      </c>
      <c r="D22" s="40" t="s">
        <v>222</v>
      </c>
      <c r="E22" s="73" t="s">
        <v>2</v>
      </c>
      <c r="F22" s="26">
        <v>8</v>
      </c>
      <c r="G22" s="26">
        <v>8</v>
      </c>
      <c r="H22" s="26">
        <v>8</v>
      </c>
      <c r="I22" s="26">
        <v>8</v>
      </c>
      <c r="J22" s="26">
        <v>8</v>
      </c>
      <c r="K22" s="210"/>
      <c r="L22" s="210"/>
      <c r="M22" s="26">
        <v>8</v>
      </c>
      <c r="N22" s="26">
        <v>8</v>
      </c>
      <c r="O22" s="26">
        <v>8</v>
      </c>
      <c r="P22" s="26">
        <v>8</v>
      </c>
      <c r="Q22" s="26">
        <v>8</v>
      </c>
      <c r="R22" s="89"/>
      <c r="S22" s="89"/>
      <c r="T22" s="26">
        <v>8</v>
      </c>
      <c r="U22" s="26">
        <v>8</v>
      </c>
      <c r="V22" s="26">
        <v>8</v>
      </c>
      <c r="W22" s="26">
        <v>8</v>
      </c>
      <c r="X22" s="26">
        <v>8</v>
      </c>
      <c r="Y22" s="206">
        <v>8</v>
      </c>
      <c r="Z22" s="89"/>
      <c r="AA22" s="26">
        <v>8</v>
      </c>
      <c r="AB22" s="26">
        <v>8</v>
      </c>
      <c r="AC22" s="26">
        <v>8</v>
      </c>
      <c r="AD22" s="26">
        <v>8</v>
      </c>
      <c r="AE22" s="26">
        <v>8</v>
      </c>
      <c r="AF22" s="206">
        <v>8</v>
      </c>
      <c r="AG22" s="206">
        <v>8</v>
      </c>
      <c r="AH22" s="26">
        <v>8</v>
      </c>
      <c r="AI22" s="26">
        <v>8</v>
      </c>
      <c r="AJ22" s="82">
        <f t="shared" si="2"/>
        <v>200</v>
      </c>
      <c r="AK22" s="214">
        <f t="shared" si="0"/>
        <v>25</v>
      </c>
      <c r="AL22" s="243">
        <f t="shared" si="4"/>
        <v>68181.8181816</v>
      </c>
      <c r="AM22" s="15" t="s">
        <v>124</v>
      </c>
    </row>
    <row r="23" spans="1:40" ht="35.1" customHeight="1" x14ac:dyDescent="0.25">
      <c r="A23" s="51">
        <v>15</v>
      </c>
      <c r="B23" s="6" t="s">
        <v>220</v>
      </c>
      <c r="C23" s="40" t="s">
        <v>8</v>
      </c>
      <c r="D23" s="40" t="s">
        <v>221</v>
      </c>
      <c r="E23" s="73" t="s">
        <v>2</v>
      </c>
      <c r="F23" s="26">
        <v>8</v>
      </c>
      <c r="G23" s="26">
        <v>8</v>
      </c>
      <c r="H23" s="26">
        <v>8</v>
      </c>
      <c r="I23" s="26">
        <v>8</v>
      </c>
      <c r="J23" s="26">
        <v>8</v>
      </c>
      <c r="K23" s="210"/>
      <c r="L23" s="210"/>
      <c r="M23" s="26">
        <v>8</v>
      </c>
      <c r="N23" s="26">
        <v>8</v>
      </c>
      <c r="O23" s="26">
        <v>8</v>
      </c>
      <c r="P23" s="26">
        <v>8</v>
      </c>
      <c r="Q23" s="26">
        <v>8</v>
      </c>
      <c r="R23" s="89"/>
      <c r="S23" s="89"/>
      <c r="T23" s="26">
        <v>8</v>
      </c>
      <c r="U23" s="26">
        <v>8</v>
      </c>
      <c r="V23" s="26">
        <v>8</v>
      </c>
      <c r="W23" s="26">
        <v>8</v>
      </c>
      <c r="X23" s="26">
        <v>8</v>
      </c>
      <c r="Y23" s="206">
        <v>8</v>
      </c>
      <c r="Z23" s="89"/>
      <c r="AA23" s="26">
        <v>8</v>
      </c>
      <c r="AB23" s="26">
        <v>8</v>
      </c>
      <c r="AC23" s="26">
        <v>8</v>
      </c>
      <c r="AD23" s="26">
        <v>8</v>
      </c>
      <c r="AE23" s="26">
        <v>8</v>
      </c>
      <c r="AF23" s="206">
        <v>8</v>
      </c>
      <c r="AG23" s="206">
        <v>8</v>
      </c>
      <c r="AH23" s="26">
        <v>8</v>
      </c>
      <c r="AI23" s="26">
        <v>8</v>
      </c>
      <c r="AJ23" s="82">
        <f t="shared" si="2"/>
        <v>200</v>
      </c>
      <c r="AK23" s="214">
        <f t="shared" si="0"/>
        <v>25</v>
      </c>
      <c r="AL23" s="243">
        <f t="shared" si="4"/>
        <v>68181.8181816</v>
      </c>
      <c r="AM23" s="15" t="s">
        <v>124</v>
      </c>
    </row>
    <row r="24" spans="1:40" ht="35.1" customHeight="1" x14ac:dyDescent="0.25">
      <c r="A24" s="51"/>
      <c r="B24" s="6" t="s">
        <v>35</v>
      </c>
      <c r="C24" s="40" t="s">
        <v>8</v>
      </c>
      <c r="D24" s="40"/>
      <c r="E24" s="73" t="s">
        <v>2</v>
      </c>
      <c r="F24" s="30"/>
      <c r="G24" s="32"/>
      <c r="H24" s="32"/>
      <c r="I24" s="28"/>
      <c r="J24" s="28"/>
      <c r="K24" s="64"/>
      <c r="L24" s="64"/>
      <c r="M24" s="28"/>
      <c r="N24" s="32"/>
      <c r="O24" s="32"/>
      <c r="P24" s="28"/>
      <c r="Q24" s="28"/>
      <c r="R24" s="64"/>
      <c r="S24" s="64"/>
      <c r="T24" s="28"/>
      <c r="U24" s="32"/>
      <c r="V24" s="32"/>
      <c r="W24" s="28"/>
      <c r="X24" s="28"/>
      <c r="Y24" s="64"/>
      <c r="Z24" s="64"/>
      <c r="AA24" s="28"/>
      <c r="AB24" s="32"/>
      <c r="AC24" s="32"/>
      <c r="AD24" s="28"/>
      <c r="AE24" s="28"/>
      <c r="AF24" s="64"/>
      <c r="AG24" s="64"/>
      <c r="AH24" s="28"/>
      <c r="AI24" s="32"/>
      <c r="AJ24" s="82">
        <f>SUM(F24:AI24)</f>
        <v>0</v>
      </c>
      <c r="AK24" s="214">
        <f t="shared" si="0"/>
        <v>0</v>
      </c>
      <c r="AL24" s="219"/>
      <c r="AM24" s="17" t="s">
        <v>152</v>
      </c>
    </row>
    <row r="25" spans="1:40" ht="35.1" customHeight="1" x14ac:dyDescent="0.25">
      <c r="A25" s="51"/>
      <c r="B25" s="6" t="s">
        <v>35</v>
      </c>
      <c r="C25" s="40" t="s">
        <v>8</v>
      </c>
      <c r="D25" s="40"/>
      <c r="E25" s="73" t="s">
        <v>2</v>
      </c>
      <c r="F25" s="30"/>
      <c r="G25" s="32"/>
      <c r="H25" s="32"/>
      <c r="I25" s="28"/>
      <c r="J25" s="28"/>
      <c r="K25" s="64"/>
      <c r="L25" s="64"/>
      <c r="M25" s="28"/>
      <c r="N25" s="32"/>
      <c r="O25" s="32"/>
      <c r="P25" s="28"/>
      <c r="Q25" s="28"/>
      <c r="R25" s="64"/>
      <c r="S25" s="64"/>
      <c r="T25" s="28"/>
      <c r="U25" s="32"/>
      <c r="V25" s="32"/>
      <c r="W25" s="28"/>
      <c r="X25" s="28"/>
      <c r="Y25" s="64"/>
      <c r="Z25" s="64"/>
      <c r="AA25" s="28"/>
      <c r="AB25" s="32"/>
      <c r="AC25" s="32"/>
      <c r="AD25" s="28"/>
      <c r="AE25" s="28"/>
      <c r="AF25" s="64"/>
      <c r="AG25" s="64"/>
      <c r="AH25" s="28"/>
      <c r="AI25" s="32"/>
      <c r="AJ25" s="82">
        <f>SUM(F25:AI25)</f>
        <v>0</v>
      </c>
      <c r="AK25" s="214">
        <f t="shared" si="0"/>
        <v>0</v>
      </c>
      <c r="AL25" s="219"/>
      <c r="AM25" s="15"/>
    </row>
    <row r="26" spans="1:40" ht="35.1" customHeight="1" x14ac:dyDescent="0.25">
      <c r="A26" s="51"/>
      <c r="B26" s="6" t="s">
        <v>35</v>
      </c>
      <c r="C26" s="40" t="s">
        <v>8</v>
      </c>
      <c r="D26" s="40"/>
      <c r="E26" s="73" t="s">
        <v>2</v>
      </c>
      <c r="F26" s="30"/>
      <c r="G26" s="32"/>
      <c r="H26" s="32"/>
      <c r="I26" s="28"/>
      <c r="J26" s="28"/>
      <c r="K26" s="64"/>
      <c r="L26" s="64"/>
      <c r="M26" s="28"/>
      <c r="N26" s="32"/>
      <c r="O26" s="32"/>
      <c r="P26" s="28"/>
      <c r="Q26" s="28"/>
      <c r="R26" s="64"/>
      <c r="S26" s="64"/>
      <c r="T26" s="28"/>
      <c r="U26" s="32"/>
      <c r="V26" s="32"/>
      <c r="W26" s="28"/>
      <c r="X26" s="28"/>
      <c r="Y26" s="64"/>
      <c r="Z26" s="64"/>
      <c r="AA26" s="28"/>
      <c r="AB26" s="32"/>
      <c r="AC26" s="32"/>
      <c r="AD26" s="28"/>
      <c r="AE26" s="28"/>
      <c r="AF26" s="64"/>
      <c r="AG26" s="64"/>
      <c r="AH26" s="28"/>
      <c r="AI26" s="32"/>
      <c r="AJ26" s="82">
        <f>SUM(F26:AI26)</f>
        <v>0</v>
      </c>
      <c r="AK26" s="214">
        <f t="shared" si="0"/>
        <v>0</v>
      </c>
      <c r="AL26" s="219"/>
      <c r="AM26" s="15"/>
    </row>
    <row r="27" spans="1:40" ht="35.1" customHeight="1" thickBot="1" x14ac:dyDescent="0.3">
      <c r="A27" s="68"/>
      <c r="B27" s="48" t="s">
        <v>35</v>
      </c>
      <c r="C27" s="41" t="s">
        <v>8</v>
      </c>
      <c r="D27" s="41"/>
      <c r="E27" s="74" t="s">
        <v>2</v>
      </c>
      <c r="F27" s="31"/>
      <c r="G27" s="32"/>
      <c r="H27" s="32"/>
      <c r="I27" s="32"/>
      <c r="J27" s="32"/>
      <c r="K27" s="65"/>
      <c r="L27" s="65"/>
      <c r="M27" s="32"/>
      <c r="N27" s="32"/>
      <c r="O27" s="32"/>
      <c r="P27" s="32"/>
      <c r="Q27" s="32"/>
      <c r="R27" s="65"/>
      <c r="S27" s="65"/>
      <c r="T27" s="32"/>
      <c r="U27" s="32"/>
      <c r="V27" s="32"/>
      <c r="W27" s="32"/>
      <c r="X27" s="32"/>
      <c r="Y27" s="65"/>
      <c r="Z27" s="65"/>
      <c r="AA27" s="32"/>
      <c r="AB27" s="32"/>
      <c r="AC27" s="32"/>
      <c r="AD27" s="32"/>
      <c r="AE27" s="32"/>
      <c r="AF27" s="65"/>
      <c r="AG27" s="65"/>
      <c r="AH27" s="32"/>
      <c r="AI27" s="32"/>
      <c r="AJ27" s="76">
        <f>SUM(F27:AI27)</f>
        <v>0</v>
      </c>
      <c r="AK27" s="241">
        <f t="shared" si="0"/>
        <v>0</v>
      </c>
      <c r="AL27" s="242"/>
      <c r="AM27" s="15"/>
    </row>
    <row r="28" spans="1:40" ht="24.75" customHeight="1" thickBot="1" x14ac:dyDescent="0.3">
      <c r="A28" s="371" t="s">
        <v>24</v>
      </c>
      <c r="B28" s="372"/>
      <c r="C28" s="372"/>
      <c r="D28" s="372"/>
      <c r="E28" s="372"/>
      <c r="F28" s="85">
        <f>COUNT(F11:F27)</f>
        <v>9</v>
      </c>
      <c r="G28" s="66">
        <f t="shared" ref="G28:AI28" si="5">COUNT(G11:G27)</f>
        <v>10</v>
      </c>
      <c r="H28" s="342">
        <f t="shared" si="5"/>
        <v>10</v>
      </c>
      <c r="I28" s="67">
        <f t="shared" si="5"/>
        <v>9</v>
      </c>
      <c r="J28" s="67">
        <f t="shared" si="5"/>
        <v>9</v>
      </c>
      <c r="K28" s="67">
        <f t="shared" si="5"/>
        <v>2</v>
      </c>
      <c r="L28" s="67">
        <f t="shared" si="5"/>
        <v>1</v>
      </c>
      <c r="M28" s="67">
        <f t="shared" si="5"/>
        <v>10</v>
      </c>
      <c r="N28" s="67">
        <f t="shared" si="5"/>
        <v>10</v>
      </c>
      <c r="O28" s="66">
        <f t="shared" si="5"/>
        <v>11</v>
      </c>
      <c r="P28" s="342">
        <f t="shared" si="5"/>
        <v>11</v>
      </c>
      <c r="Q28" s="66">
        <f t="shared" si="5"/>
        <v>10</v>
      </c>
      <c r="R28" s="342">
        <f t="shared" si="5"/>
        <v>2</v>
      </c>
      <c r="S28" s="66">
        <f t="shared" si="5"/>
        <v>2</v>
      </c>
      <c r="T28" s="66">
        <f t="shared" si="5"/>
        <v>12</v>
      </c>
      <c r="U28" s="66">
        <f t="shared" si="5"/>
        <v>11</v>
      </c>
      <c r="V28" s="342">
        <f t="shared" si="5"/>
        <v>11</v>
      </c>
      <c r="W28" s="67">
        <f t="shared" si="5"/>
        <v>12</v>
      </c>
      <c r="X28" s="66">
        <f t="shared" si="5"/>
        <v>12</v>
      </c>
      <c r="Y28" s="342">
        <f t="shared" si="5"/>
        <v>3</v>
      </c>
      <c r="Z28" s="66">
        <f t="shared" si="5"/>
        <v>2</v>
      </c>
      <c r="AA28" s="67">
        <f t="shared" si="5"/>
        <v>13</v>
      </c>
      <c r="AB28" s="66">
        <f t="shared" si="5"/>
        <v>13</v>
      </c>
      <c r="AC28" s="342">
        <f t="shared" si="5"/>
        <v>12</v>
      </c>
      <c r="AD28" s="66">
        <f t="shared" si="5"/>
        <v>12</v>
      </c>
      <c r="AE28" s="342">
        <f t="shared" si="5"/>
        <v>13</v>
      </c>
      <c r="AF28" s="66">
        <f t="shared" si="5"/>
        <v>8</v>
      </c>
      <c r="AG28" s="342">
        <f t="shared" si="5"/>
        <v>8</v>
      </c>
      <c r="AH28" s="66">
        <f>COUNT(AH11:AH27)</f>
        <v>12</v>
      </c>
      <c r="AI28" s="342">
        <f t="shared" si="5"/>
        <v>13</v>
      </c>
      <c r="AJ28" s="85">
        <f>SUM(AJ11:AJ27)</f>
        <v>2229</v>
      </c>
      <c r="AK28" s="67">
        <f>SUM(AK11:AK27)</f>
        <v>273</v>
      </c>
      <c r="AL28" s="281">
        <f>AM28-AL11-AL12-AL13-AL14-AL15-AL16-AL17-AL18-AL19-AL20-AL21</f>
        <v>388636.36363787903</v>
      </c>
      <c r="AM28" s="308">
        <v>1096400</v>
      </c>
      <c r="AN28" s="309"/>
    </row>
    <row r="29" spans="1:40" ht="40.5" customHeight="1" thickBot="1" x14ac:dyDescent="0.3">
      <c r="A29" s="397" t="s">
        <v>190</v>
      </c>
      <c r="B29" s="398"/>
      <c r="C29" s="398"/>
      <c r="D29" s="398"/>
      <c r="E29" s="398"/>
      <c r="F29" s="398"/>
      <c r="G29" s="398"/>
      <c r="H29" s="398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8"/>
      <c r="AD29" s="398"/>
      <c r="AE29" s="398"/>
      <c r="AF29" s="398"/>
      <c r="AG29" s="398"/>
      <c r="AH29" s="398"/>
      <c r="AI29" s="398"/>
      <c r="AJ29" s="398"/>
      <c r="AK29" s="398"/>
      <c r="AL29" s="391"/>
      <c r="AM29" s="16"/>
    </row>
    <row r="30" spans="1:40" ht="35.1" customHeight="1" x14ac:dyDescent="0.25">
      <c r="A30" s="69">
        <v>16</v>
      </c>
      <c r="B30" s="70" t="s">
        <v>104</v>
      </c>
      <c r="C30" s="71" t="s">
        <v>25</v>
      </c>
      <c r="D30" s="71" t="s">
        <v>26</v>
      </c>
      <c r="E30" s="91" t="s">
        <v>2</v>
      </c>
      <c r="F30" s="23">
        <v>8</v>
      </c>
      <c r="G30" s="24">
        <v>8</v>
      </c>
      <c r="H30" s="24">
        <v>8</v>
      </c>
      <c r="I30" s="24">
        <v>8</v>
      </c>
      <c r="J30" s="24">
        <v>8</v>
      </c>
      <c r="K30" s="307">
        <v>8</v>
      </c>
      <c r="L30" s="63"/>
      <c r="M30" s="24">
        <v>8</v>
      </c>
      <c r="N30" s="24">
        <v>8</v>
      </c>
      <c r="O30" s="24">
        <v>8</v>
      </c>
      <c r="P30" s="24">
        <v>8</v>
      </c>
      <c r="Q30" s="24">
        <v>8</v>
      </c>
      <c r="R30" s="63"/>
      <c r="S30" s="307">
        <v>8</v>
      </c>
      <c r="T30" s="24">
        <v>8</v>
      </c>
      <c r="U30" s="24">
        <v>8</v>
      </c>
      <c r="V30" s="24">
        <v>8</v>
      </c>
      <c r="W30" s="24">
        <v>8</v>
      </c>
      <c r="X30" s="24">
        <v>8</v>
      </c>
      <c r="Y30" s="63"/>
      <c r="Z30" s="63"/>
      <c r="AA30" s="24">
        <v>8</v>
      </c>
      <c r="AB30" s="24">
        <v>8</v>
      </c>
      <c r="AC30" s="24">
        <v>8</v>
      </c>
      <c r="AD30" s="24">
        <v>8</v>
      </c>
      <c r="AE30" s="24">
        <v>8</v>
      </c>
      <c r="AF30" s="63"/>
      <c r="AG30" s="307">
        <v>8</v>
      </c>
      <c r="AH30" s="24">
        <v>8</v>
      </c>
      <c r="AI30" s="24">
        <v>8</v>
      </c>
      <c r="AJ30" s="83">
        <f t="shared" ref="AJ30:AJ37" si="6">SUM(F30:AI30)</f>
        <v>200</v>
      </c>
      <c r="AK30" s="215">
        <f t="shared" si="0"/>
        <v>25</v>
      </c>
      <c r="AL30" s="245">
        <f>AJ30*511.363636362</f>
        <v>102272.72727240001</v>
      </c>
      <c r="AM30" s="15" t="s">
        <v>124</v>
      </c>
    </row>
    <row r="31" spans="1:40" ht="35.1" customHeight="1" x14ac:dyDescent="0.25">
      <c r="A31" s="69">
        <v>17</v>
      </c>
      <c r="B31" s="6" t="s">
        <v>28</v>
      </c>
      <c r="C31" s="40" t="s">
        <v>34</v>
      </c>
      <c r="D31" s="92" t="s">
        <v>29</v>
      </c>
      <c r="E31" s="73" t="s">
        <v>23</v>
      </c>
      <c r="F31" s="30"/>
      <c r="G31" s="30"/>
      <c r="H31" s="305" t="s">
        <v>172</v>
      </c>
      <c r="I31" s="305" t="s">
        <v>172</v>
      </c>
      <c r="J31" s="30"/>
      <c r="K31" s="317"/>
      <c r="L31" s="26">
        <v>11</v>
      </c>
      <c r="M31" s="26">
        <v>11</v>
      </c>
      <c r="N31" s="30"/>
      <c r="O31" s="30"/>
      <c r="P31" s="26">
        <v>11</v>
      </c>
      <c r="Q31" s="26">
        <v>11</v>
      </c>
      <c r="R31" s="317"/>
      <c r="S31" s="317"/>
      <c r="T31" s="302" t="s">
        <v>170</v>
      </c>
      <c r="U31" s="302" t="s">
        <v>170</v>
      </c>
      <c r="V31" s="302" t="s">
        <v>170</v>
      </c>
      <c r="W31" s="302" t="s">
        <v>170</v>
      </c>
      <c r="X31" s="302" t="s">
        <v>170</v>
      </c>
      <c r="Y31" s="302" t="s">
        <v>170</v>
      </c>
      <c r="Z31" s="302" t="s">
        <v>170</v>
      </c>
      <c r="AA31" s="302" t="s">
        <v>170</v>
      </c>
      <c r="AB31" s="302" t="s">
        <v>170</v>
      </c>
      <c r="AC31" s="302" t="s">
        <v>170</v>
      </c>
      <c r="AD31" s="302" t="s">
        <v>170</v>
      </c>
      <c r="AE31" s="302" t="s">
        <v>170</v>
      </c>
      <c r="AF31" s="302" t="s">
        <v>170</v>
      </c>
      <c r="AG31" s="302" t="s">
        <v>170</v>
      </c>
      <c r="AH31" s="30"/>
      <c r="AI31" s="30"/>
      <c r="AJ31" s="83">
        <f t="shared" si="6"/>
        <v>44</v>
      </c>
      <c r="AK31" s="215">
        <v>14</v>
      </c>
      <c r="AL31" s="243">
        <f>AJ31*409.09090909</f>
        <v>17999.99999996</v>
      </c>
      <c r="AM31" s="15" t="s">
        <v>124</v>
      </c>
    </row>
    <row r="32" spans="1:40" ht="35.1" customHeight="1" x14ac:dyDescent="0.25">
      <c r="A32" s="69">
        <v>18</v>
      </c>
      <c r="B32" s="6" t="s">
        <v>30</v>
      </c>
      <c r="C32" s="40" t="s">
        <v>34</v>
      </c>
      <c r="D32" s="92" t="s">
        <v>31</v>
      </c>
      <c r="E32" s="73" t="s">
        <v>23</v>
      </c>
      <c r="F32" s="26">
        <v>11</v>
      </c>
      <c r="G32" s="26">
        <v>11</v>
      </c>
      <c r="H32" s="30"/>
      <c r="I32" s="30"/>
      <c r="J32" s="26">
        <v>11</v>
      </c>
      <c r="K32" s="26">
        <v>11</v>
      </c>
      <c r="L32" s="317"/>
      <c r="M32" s="30"/>
      <c r="N32" s="26">
        <v>11</v>
      </c>
      <c r="O32" s="26">
        <v>11</v>
      </c>
      <c r="P32" s="30"/>
      <c r="Q32" s="30"/>
      <c r="R32" s="26">
        <v>11</v>
      </c>
      <c r="S32" s="26">
        <v>11</v>
      </c>
      <c r="T32" s="30"/>
      <c r="U32" s="30"/>
      <c r="V32" s="302" t="s">
        <v>170</v>
      </c>
      <c r="W32" s="302" t="s">
        <v>170</v>
      </c>
      <c r="X32" s="302" t="s">
        <v>170</v>
      </c>
      <c r="Y32" s="302" t="s">
        <v>170</v>
      </c>
      <c r="Z32" s="302" t="s">
        <v>170</v>
      </c>
      <c r="AA32" s="302" t="s">
        <v>170</v>
      </c>
      <c r="AB32" s="302" t="s">
        <v>170</v>
      </c>
      <c r="AC32" s="302" t="s">
        <v>170</v>
      </c>
      <c r="AD32" s="302" t="s">
        <v>170</v>
      </c>
      <c r="AE32" s="302" t="s">
        <v>170</v>
      </c>
      <c r="AF32" s="302" t="s">
        <v>170</v>
      </c>
      <c r="AG32" s="302" t="s">
        <v>170</v>
      </c>
      <c r="AH32" s="302" t="s">
        <v>170</v>
      </c>
      <c r="AI32" s="302" t="s">
        <v>170</v>
      </c>
      <c r="AJ32" s="83">
        <f t="shared" si="6"/>
        <v>88</v>
      </c>
      <c r="AK32" s="215">
        <f t="shared" ref="AK32:AK37" si="7">AJ32/11</f>
        <v>8</v>
      </c>
      <c r="AL32" s="243">
        <f>AJ32*357.954545454</f>
        <v>31499.999999952001</v>
      </c>
      <c r="AM32" s="15" t="s">
        <v>124</v>
      </c>
    </row>
    <row r="33" spans="1:39" ht="35.1" customHeight="1" x14ac:dyDescent="0.25">
      <c r="A33" s="69">
        <v>19</v>
      </c>
      <c r="B33" s="6" t="s">
        <v>32</v>
      </c>
      <c r="C33" s="40" t="s">
        <v>27</v>
      </c>
      <c r="D33" s="92" t="s">
        <v>33</v>
      </c>
      <c r="E33" s="73" t="s">
        <v>23</v>
      </c>
      <c r="F33" s="30"/>
      <c r="G33" s="30"/>
      <c r="H33" s="26">
        <v>11</v>
      </c>
      <c r="I33" s="26">
        <v>11</v>
      </c>
      <c r="J33" s="30"/>
      <c r="K33" s="317"/>
      <c r="L33" s="26">
        <v>11</v>
      </c>
      <c r="M33" s="26">
        <v>11</v>
      </c>
      <c r="N33" s="30"/>
      <c r="O33" s="30"/>
      <c r="P33" s="305" t="s">
        <v>172</v>
      </c>
      <c r="Q33" s="305" t="s">
        <v>172</v>
      </c>
      <c r="R33" s="317"/>
      <c r="S33" s="317"/>
      <c r="T33" s="26">
        <v>11</v>
      </c>
      <c r="U33" s="26">
        <v>11</v>
      </c>
      <c r="V33" s="30"/>
      <c r="W33" s="30"/>
      <c r="X33" s="26">
        <v>11</v>
      </c>
      <c r="Y33" s="305" t="s">
        <v>172</v>
      </c>
      <c r="Z33" s="317"/>
      <c r="AA33" s="30"/>
      <c r="AB33" s="302" t="s">
        <v>170</v>
      </c>
      <c r="AC33" s="302" t="s">
        <v>170</v>
      </c>
      <c r="AD33" s="302" t="s">
        <v>170</v>
      </c>
      <c r="AE33" s="302" t="s">
        <v>170</v>
      </c>
      <c r="AF33" s="302" t="s">
        <v>170</v>
      </c>
      <c r="AG33" s="302" t="s">
        <v>170</v>
      </c>
      <c r="AH33" s="302" t="s">
        <v>170</v>
      </c>
      <c r="AI33" s="30"/>
      <c r="AJ33" s="83">
        <f t="shared" si="6"/>
        <v>77</v>
      </c>
      <c r="AK33" s="215">
        <f t="shared" si="7"/>
        <v>7</v>
      </c>
      <c r="AL33" s="243">
        <f>AJ33*367.532467531</f>
        <v>28299.999999887001</v>
      </c>
      <c r="AM33" s="15" t="s">
        <v>124</v>
      </c>
    </row>
    <row r="34" spans="1:39" ht="35.1" customHeight="1" x14ac:dyDescent="0.25">
      <c r="A34" s="69">
        <v>20</v>
      </c>
      <c r="B34" s="6" t="s">
        <v>142</v>
      </c>
      <c r="C34" s="40" t="s">
        <v>27</v>
      </c>
      <c r="D34" s="92" t="s">
        <v>141</v>
      </c>
      <c r="E34" s="73" t="s">
        <v>23</v>
      </c>
      <c r="F34" s="26">
        <v>11</v>
      </c>
      <c r="G34" s="26">
        <v>11</v>
      </c>
      <c r="H34" s="30"/>
      <c r="I34" s="30"/>
      <c r="J34" s="26">
        <v>11</v>
      </c>
      <c r="K34" s="26">
        <v>11</v>
      </c>
      <c r="L34" s="317"/>
      <c r="M34" s="30"/>
      <c r="N34" s="26">
        <v>11</v>
      </c>
      <c r="O34" s="26">
        <v>11</v>
      </c>
      <c r="P34" s="30"/>
      <c r="Q34" s="30"/>
      <c r="R34" s="26">
        <v>11</v>
      </c>
      <c r="S34" s="26">
        <v>11</v>
      </c>
      <c r="T34" s="30"/>
      <c r="U34" s="30"/>
      <c r="V34" s="26">
        <v>11</v>
      </c>
      <c r="W34" s="26">
        <v>11</v>
      </c>
      <c r="X34" s="30"/>
      <c r="Y34" s="317"/>
      <c r="Z34" s="26">
        <v>11</v>
      </c>
      <c r="AA34" s="26">
        <v>11</v>
      </c>
      <c r="AB34" s="30"/>
      <c r="AC34" s="30"/>
      <c r="AD34" s="26">
        <v>11</v>
      </c>
      <c r="AE34" s="26">
        <v>11</v>
      </c>
      <c r="AF34" s="317"/>
      <c r="AG34" s="317"/>
      <c r="AH34" s="26">
        <v>11</v>
      </c>
      <c r="AI34" s="26">
        <v>11</v>
      </c>
      <c r="AJ34" s="83">
        <f t="shared" si="6"/>
        <v>176</v>
      </c>
      <c r="AK34" s="215">
        <f t="shared" si="7"/>
        <v>16</v>
      </c>
      <c r="AL34" s="243">
        <f>AJ34*321.59090909</f>
        <v>56599.999999840002</v>
      </c>
      <c r="AM34" s="15" t="s">
        <v>124</v>
      </c>
    </row>
    <row r="35" spans="1:39" ht="35.1" customHeight="1" x14ac:dyDescent="0.25">
      <c r="A35" s="52">
        <v>21</v>
      </c>
      <c r="B35" s="6" t="s">
        <v>215</v>
      </c>
      <c r="C35" s="40" t="s">
        <v>27</v>
      </c>
      <c r="D35" s="92" t="s">
        <v>216</v>
      </c>
      <c r="E35" s="73" t="s">
        <v>23</v>
      </c>
      <c r="F35" s="30"/>
      <c r="G35" s="30"/>
      <c r="H35" s="26">
        <v>11</v>
      </c>
      <c r="I35" s="26">
        <v>11</v>
      </c>
      <c r="J35" s="30"/>
      <c r="K35" s="317"/>
      <c r="L35" s="26">
        <v>11</v>
      </c>
      <c r="M35" s="26">
        <v>11</v>
      </c>
      <c r="N35" s="30"/>
      <c r="O35" s="30"/>
      <c r="P35" s="26">
        <v>11</v>
      </c>
      <c r="Q35" s="26">
        <v>11</v>
      </c>
      <c r="R35" s="317"/>
      <c r="S35" s="317"/>
      <c r="T35" s="26">
        <v>11</v>
      </c>
      <c r="U35" s="26">
        <v>11</v>
      </c>
      <c r="V35" s="30"/>
      <c r="W35" s="30"/>
      <c r="X35" s="26">
        <v>11</v>
      </c>
      <c r="Y35" s="26">
        <v>11</v>
      </c>
      <c r="Z35" s="317"/>
      <c r="AA35" s="30"/>
      <c r="AB35" s="26">
        <v>11</v>
      </c>
      <c r="AC35" s="26">
        <v>11</v>
      </c>
      <c r="AD35" s="30"/>
      <c r="AE35" s="30"/>
      <c r="AF35" s="26">
        <v>11</v>
      </c>
      <c r="AG35" s="26">
        <v>11</v>
      </c>
      <c r="AH35" s="30"/>
      <c r="AI35" s="30"/>
      <c r="AJ35" s="83">
        <f t="shared" si="6"/>
        <v>154</v>
      </c>
      <c r="AK35" s="215">
        <f t="shared" si="7"/>
        <v>14</v>
      </c>
      <c r="AL35" s="243">
        <f>AJ35*367.532467531</f>
        <v>56599.999999774001</v>
      </c>
      <c r="AM35" s="15" t="s">
        <v>124</v>
      </c>
    </row>
    <row r="36" spans="1:39" ht="35.1" customHeight="1" x14ac:dyDescent="0.25">
      <c r="A36" s="52"/>
      <c r="B36" s="6" t="s">
        <v>35</v>
      </c>
      <c r="C36" s="40" t="s">
        <v>27</v>
      </c>
      <c r="D36" s="92"/>
      <c r="E36" s="73" t="s">
        <v>23</v>
      </c>
      <c r="F36" s="30"/>
      <c r="G36" s="30"/>
      <c r="H36" s="30"/>
      <c r="I36" s="30"/>
      <c r="J36" s="30"/>
      <c r="K36" s="317"/>
      <c r="L36" s="317"/>
      <c r="M36" s="30"/>
      <c r="N36" s="30"/>
      <c r="O36" s="30"/>
      <c r="P36" s="30"/>
      <c r="Q36" s="30"/>
      <c r="R36" s="317"/>
      <c r="S36" s="317"/>
      <c r="T36" s="30"/>
      <c r="U36" s="30"/>
      <c r="V36" s="30"/>
      <c r="W36" s="30"/>
      <c r="X36" s="30"/>
      <c r="Y36" s="317"/>
      <c r="Z36" s="317"/>
      <c r="AA36" s="30"/>
      <c r="AB36" s="30"/>
      <c r="AC36" s="30"/>
      <c r="AD36" s="30"/>
      <c r="AE36" s="30"/>
      <c r="AF36" s="317"/>
      <c r="AG36" s="317"/>
      <c r="AH36" s="30"/>
      <c r="AI36" s="30"/>
      <c r="AJ36" s="83">
        <f t="shared" si="6"/>
        <v>0</v>
      </c>
      <c r="AK36" s="215">
        <f t="shared" si="7"/>
        <v>0</v>
      </c>
      <c r="AL36" s="220"/>
      <c r="AM36" s="17" t="s">
        <v>218</v>
      </c>
    </row>
    <row r="37" spans="1:39" ht="35.1" customHeight="1" thickBot="1" x14ac:dyDescent="0.3">
      <c r="A37" s="94"/>
      <c r="B37" s="48" t="s">
        <v>35</v>
      </c>
      <c r="C37" s="41" t="s">
        <v>27</v>
      </c>
      <c r="D37" s="93"/>
      <c r="E37" s="74" t="s">
        <v>23</v>
      </c>
      <c r="F37" s="31"/>
      <c r="G37" s="31"/>
      <c r="H37" s="31"/>
      <c r="I37" s="31"/>
      <c r="J37" s="31"/>
      <c r="K37" s="318"/>
      <c r="L37" s="318"/>
      <c r="M37" s="31"/>
      <c r="N37" s="31"/>
      <c r="O37" s="31"/>
      <c r="P37" s="31"/>
      <c r="Q37" s="31"/>
      <c r="R37" s="318"/>
      <c r="S37" s="318"/>
      <c r="T37" s="31"/>
      <c r="U37" s="31"/>
      <c r="V37" s="31"/>
      <c r="W37" s="31"/>
      <c r="X37" s="31"/>
      <c r="Y37" s="318"/>
      <c r="Z37" s="318"/>
      <c r="AA37" s="31"/>
      <c r="AB37" s="31"/>
      <c r="AC37" s="31"/>
      <c r="AD37" s="31"/>
      <c r="AE37" s="31"/>
      <c r="AF37" s="318"/>
      <c r="AG37" s="318"/>
      <c r="AH37" s="31"/>
      <c r="AI37" s="31"/>
      <c r="AJ37" s="105">
        <f t="shared" si="6"/>
        <v>0</v>
      </c>
      <c r="AK37" s="216">
        <f t="shared" si="7"/>
        <v>0</v>
      </c>
      <c r="AL37" s="260"/>
      <c r="AM37" s="15"/>
    </row>
    <row r="38" spans="1:39" ht="23.25" customHeight="1" thickBot="1" x14ac:dyDescent="0.3">
      <c r="A38" s="387" t="s">
        <v>24</v>
      </c>
      <c r="B38" s="388"/>
      <c r="C38" s="388"/>
      <c r="D38" s="388"/>
      <c r="E38" s="393"/>
      <c r="F38" s="85">
        <f>COUNT(F30:F37)</f>
        <v>3</v>
      </c>
      <c r="G38" s="66">
        <f t="shared" ref="G38:AI38" si="8">COUNT(G30:G37)</f>
        <v>3</v>
      </c>
      <c r="H38" s="66">
        <f t="shared" si="8"/>
        <v>3</v>
      </c>
      <c r="I38" s="66">
        <f t="shared" si="8"/>
        <v>3</v>
      </c>
      <c r="J38" s="66">
        <f t="shared" si="8"/>
        <v>3</v>
      </c>
      <c r="K38" s="66">
        <f t="shared" si="8"/>
        <v>3</v>
      </c>
      <c r="L38" s="66">
        <f t="shared" si="8"/>
        <v>3</v>
      </c>
      <c r="M38" s="66">
        <f t="shared" si="8"/>
        <v>4</v>
      </c>
      <c r="N38" s="66">
        <f t="shared" si="8"/>
        <v>3</v>
      </c>
      <c r="O38" s="66">
        <f t="shared" si="8"/>
        <v>3</v>
      </c>
      <c r="P38" s="66">
        <f t="shared" si="8"/>
        <v>3</v>
      </c>
      <c r="Q38" s="66">
        <f t="shared" si="8"/>
        <v>3</v>
      </c>
      <c r="R38" s="66">
        <f t="shared" si="8"/>
        <v>2</v>
      </c>
      <c r="S38" s="66">
        <f t="shared" si="8"/>
        <v>3</v>
      </c>
      <c r="T38" s="66">
        <f t="shared" si="8"/>
        <v>3</v>
      </c>
      <c r="U38" s="66">
        <f t="shared" si="8"/>
        <v>3</v>
      </c>
      <c r="V38" s="66">
        <f t="shared" si="8"/>
        <v>2</v>
      </c>
      <c r="W38" s="66">
        <f t="shared" si="8"/>
        <v>2</v>
      </c>
      <c r="X38" s="66">
        <f t="shared" si="8"/>
        <v>3</v>
      </c>
      <c r="Y38" s="66">
        <f t="shared" si="8"/>
        <v>1</v>
      </c>
      <c r="Z38" s="66">
        <f t="shared" si="8"/>
        <v>1</v>
      </c>
      <c r="AA38" s="66">
        <f t="shared" si="8"/>
        <v>2</v>
      </c>
      <c r="AB38" s="66">
        <f t="shared" si="8"/>
        <v>2</v>
      </c>
      <c r="AC38" s="66">
        <f t="shared" si="8"/>
        <v>2</v>
      </c>
      <c r="AD38" s="66">
        <f t="shared" si="8"/>
        <v>2</v>
      </c>
      <c r="AE38" s="66">
        <f t="shared" si="8"/>
        <v>2</v>
      </c>
      <c r="AF38" s="66">
        <f t="shared" si="8"/>
        <v>1</v>
      </c>
      <c r="AG38" s="66">
        <f t="shared" si="8"/>
        <v>2</v>
      </c>
      <c r="AH38" s="66">
        <f t="shared" si="8"/>
        <v>2</v>
      </c>
      <c r="AI38" s="66">
        <f t="shared" si="8"/>
        <v>2</v>
      </c>
      <c r="AJ38" s="85">
        <f>SUM(AJ30:AJ37)</f>
        <v>739</v>
      </c>
      <c r="AK38" s="67">
        <f>SUM(AK30:AK37)</f>
        <v>84</v>
      </c>
      <c r="AL38" s="311">
        <f>AM38-AL30-AL31-AL32-AL33-AL34-AL35</f>
        <v>205727.272728187</v>
      </c>
      <c r="AM38" s="308">
        <v>499000</v>
      </c>
    </row>
    <row r="39" spans="1:39" ht="40.5" customHeight="1" thickBot="1" x14ac:dyDescent="0.3">
      <c r="A39" s="378" t="s">
        <v>191</v>
      </c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79"/>
      <c r="AG39" s="379"/>
      <c r="AH39" s="379"/>
      <c r="AI39" s="379"/>
      <c r="AJ39" s="379"/>
      <c r="AK39" s="379"/>
      <c r="AL39" s="380"/>
      <c r="AM39" s="16"/>
    </row>
    <row r="40" spans="1:39" ht="37.5" customHeight="1" x14ac:dyDescent="0.25">
      <c r="A40" s="69">
        <v>22</v>
      </c>
      <c r="B40" s="70" t="s">
        <v>39</v>
      </c>
      <c r="C40" s="71" t="s">
        <v>36</v>
      </c>
      <c r="D40" s="71" t="s">
        <v>40</v>
      </c>
      <c r="E40" s="91" t="s">
        <v>2</v>
      </c>
      <c r="F40" s="23">
        <v>8</v>
      </c>
      <c r="G40" s="24">
        <v>8</v>
      </c>
      <c r="H40" s="24">
        <v>8</v>
      </c>
      <c r="I40" s="24">
        <v>8</v>
      </c>
      <c r="J40" s="24">
        <v>8</v>
      </c>
      <c r="K40" s="307">
        <v>4</v>
      </c>
      <c r="L40" s="307">
        <v>4</v>
      </c>
      <c r="M40" s="24">
        <v>8</v>
      </c>
      <c r="N40" s="24">
        <v>8</v>
      </c>
      <c r="O40" s="24">
        <v>8</v>
      </c>
      <c r="P40" s="24">
        <v>8</v>
      </c>
      <c r="Q40" s="24">
        <v>8</v>
      </c>
      <c r="R40" s="307">
        <v>8</v>
      </c>
      <c r="S40" s="63"/>
      <c r="T40" s="24">
        <v>8</v>
      </c>
      <c r="U40" s="24">
        <v>8</v>
      </c>
      <c r="V40" s="24">
        <v>8</v>
      </c>
      <c r="W40" s="24">
        <v>8</v>
      </c>
      <c r="X40" s="24">
        <v>8</v>
      </c>
      <c r="Y40" s="206">
        <v>8</v>
      </c>
      <c r="Z40" s="206">
        <v>8</v>
      </c>
      <c r="AA40" s="24">
        <v>8</v>
      </c>
      <c r="AB40" s="24">
        <v>8</v>
      </c>
      <c r="AC40" s="24">
        <v>8</v>
      </c>
      <c r="AD40" s="24">
        <v>8</v>
      </c>
      <c r="AE40" s="24">
        <v>8</v>
      </c>
      <c r="AF40" s="307">
        <v>8</v>
      </c>
      <c r="AG40" s="317"/>
      <c r="AH40" s="24">
        <v>8</v>
      </c>
      <c r="AI40" s="24">
        <v>8</v>
      </c>
      <c r="AJ40" s="82">
        <f t="shared" ref="AJ40:AJ50" si="9">SUM(F40:AI40)</f>
        <v>216</v>
      </c>
      <c r="AK40" s="219">
        <f>AJ40/8</f>
        <v>27</v>
      </c>
      <c r="AL40" s="245">
        <f>AJ40*511.363636362</f>
        <v>110454.545454192</v>
      </c>
      <c r="AM40" s="15" t="s">
        <v>124</v>
      </c>
    </row>
    <row r="41" spans="1:39" ht="35.1" customHeight="1" x14ac:dyDescent="0.25">
      <c r="A41" s="69">
        <v>23</v>
      </c>
      <c r="B41" s="6" t="s">
        <v>41</v>
      </c>
      <c r="C41" s="44" t="s">
        <v>38</v>
      </c>
      <c r="D41" s="92" t="s">
        <v>42</v>
      </c>
      <c r="E41" s="73" t="s">
        <v>23</v>
      </c>
      <c r="F41" s="302" t="s">
        <v>170</v>
      </c>
      <c r="G41" s="302" t="s">
        <v>170</v>
      </c>
      <c r="H41" s="302" t="s">
        <v>170</v>
      </c>
      <c r="I41" s="302" t="s">
        <v>170</v>
      </c>
      <c r="J41" s="302" t="s">
        <v>170</v>
      </c>
      <c r="K41" s="302" t="s">
        <v>170</v>
      </c>
      <c r="L41" s="302" t="s">
        <v>170</v>
      </c>
      <c r="M41" s="302" t="s">
        <v>170</v>
      </c>
      <c r="N41" s="302" t="s">
        <v>170</v>
      </c>
      <c r="O41" s="302" t="s">
        <v>170</v>
      </c>
      <c r="P41" s="302" t="s">
        <v>170</v>
      </c>
      <c r="Q41" s="30"/>
      <c r="R41" s="317"/>
      <c r="S41" s="26">
        <v>11</v>
      </c>
      <c r="T41" s="26">
        <v>11</v>
      </c>
      <c r="U41" s="30"/>
      <c r="V41" s="30"/>
      <c r="W41" s="26">
        <v>11</v>
      </c>
      <c r="X41" s="26">
        <v>11</v>
      </c>
      <c r="Y41" s="317"/>
      <c r="Z41" s="317"/>
      <c r="AA41" s="26">
        <v>11</v>
      </c>
      <c r="AB41" s="26">
        <v>11</v>
      </c>
      <c r="AC41" s="30"/>
      <c r="AD41" s="30"/>
      <c r="AE41" s="26">
        <v>11</v>
      </c>
      <c r="AF41" s="26">
        <v>11</v>
      </c>
      <c r="AG41" s="317"/>
      <c r="AH41" s="30"/>
      <c r="AI41" s="26">
        <v>11</v>
      </c>
      <c r="AJ41" s="83">
        <f t="shared" si="9"/>
        <v>99</v>
      </c>
      <c r="AK41" s="215">
        <f t="shared" ref="AK41:AK50" si="10">AJ41/11</f>
        <v>9</v>
      </c>
      <c r="AL41" s="243">
        <f>AJ41*343.03030303</f>
        <v>33959.999999970001</v>
      </c>
      <c r="AM41" s="15" t="s">
        <v>124</v>
      </c>
    </row>
    <row r="42" spans="1:39" ht="34.9" customHeight="1" x14ac:dyDescent="0.25">
      <c r="A42" s="69">
        <v>24</v>
      </c>
      <c r="B42" s="6" t="s">
        <v>43</v>
      </c>
      <c r="C42" s="44" t="s">
        <v>38</v>
      </c>
      <c r="D42" s="92" t="s">
        <v>44</v>
      </c>
      <c r="E42" s="73" t="s">
        <v>23</v>
      </c>
      <c r="F42" s="306">
        <v>11</v>
      </c>
      <c r="G42" s="26">
        <v>11</v>
      </c>
      <c r="H42" s="26">
        <v>11</v>
      </c>
      <c r="I42" s="30"/>
      <c r="J42" s="30"/>
      <c r="K42" s="26">
        <v>11</v>
      </c>
      <c r="L42" s="26">
        <v>11</v>
      </c>
      <c r="M42" s="30"/>
      <c r="N42" s="30"/>
      <c r="O42" s="26">
        <v>11</v>
      </c>
      <c r="P42" s="26">
        <v>11</v>
      </c>
      <c r="Q42" s="30"/>
      <c r="R42" s="317"/>
      <c r="S42" s="26">
        <v>11</v>
      </c>
      <c r="T42" s="26">
        <v>11</v>
      </c>
      <c r="U42" s="30"/>
      <c r="V42" s="30"/>
      <c r="W42" s="26">
        <v>11</v>
      </c>
      <c r="X42" s="26">
        <v>11</v>
      </c>
      <c r="Y42" s="317"/>
      <c r="Z42" s="317"/>
      <c r="AA42" s="26">
        <v>11</v>
      </c>
      <c r="AB42" s="26">
        <v>11</v>
      </c>
      <c r="AC42" s="30"/>
      <c r="AD42" s="30"/>
      <c r="AE42" s="26">
        <v>11</v>
      </c>
      <c r="AF42" s="26">
        <v>11</v>
      </c>
      <c r="AG42" s="317"/>
      <c r="AH42" s="30"/>
      <c r="AI42" s="26">
        <v>11</v>
      </c>
      <c r="AJ42" s="83">
        <f t="shared" si="9"/>
        <v>176</v>
      </c>
      <c r="AK42" s="215">
        <f t="shared" si="10"/>
        <v>16</v>
      </c>
      <c r="AL42" s="243">
        <f>AJ42*343.03030303</f>
        <v>60373.333333280003</v>
      </c>
      <c r="AM42" s="15"/>
    </row>
    <row r="43" spans="1:39" ht="35.1" customHeight="1" x14ac:dyDescent="0.25">
      <c r="A43" s="69">
        <v>25</v>
      </c>
      <c r="B43" s="6" t="s">
        <v>46</v>
      </c>
      <c r="C43" s="44" t="s">
        <v>38</v>
      </c>
      <c r="D43" s="40" t="s">
        <v>47</v>
      </c>
      <c r="E43" s="73" t="s">
        <v>23</v>
      </c>
      <c r="F43" s="30"/>
      <c r="G43" s="26">
        <v>11</v>
      </c>
      <c r="H43" s="26">
        <v>11</v>
      </c>
      <c r="I43" s="30"/>
      <c r="J43" s="30"/>
      <c r="K43" s="26">
        <v>11</v>
      </c>
      <c r="L43" s="26">
        <v>11</v>
      </c>
      <c r="M43" s="30"/>
      <c r="N43" s="30"/>
      <c r="O43" s="26">
        <v>11</v>
      </c>
      <c r="P43" s="26">
        <v>11</v>
      </c>
      <c r="Q43" s="30"/>
      <c r="R43" s="317"/>
      <c r="S43" s="26">
        <v>11</v>
      </c>
      <c r="T43" s="26">
        <v>11</v>
      </c>
      <c r="U43" s="30"/>
      <c r="V43" s="30"/>
      <c r="W43" s="26">
        <v>11</v>
      </c>
      <c r="X43" s="26">
        <v>11</v>
      </c>
      <c r="Y43" s="317"/>
      <c r="Z43" s="317"/>
      <c r="AA43" s="26">
        <v>11</v>
      </c>
      <c r="AB43" s="26">
        <v>11</v>
      </c>
      <c r="AC43" s="30"/>
      <c r="AD43" s="30"/>
      <c r="AE43" s="26">
        <v>11</v>
      </c>
      <c r="AF43" s="26">
        <v>11</v>
      </c>
      <c r="AG43" s="317"/>
      <c r="AH43" s="30"/>
      <c r="AI43" s="26">
        <v>11</v>
      </c>
      <c r="AJ43" s="83">
        <f t="shared" si="9"/>
        <v>165</v>
      </c>
      <c r="AK43" s="215">
        <f t="shared" si="10"/>
        <v>15</v>
      </c>
      <c r="AL43" s="243">
        <f t="shared" ref="AL43:AL44" si="11">AJ43*343.03030303</f>
        <v>56599.999999950007</v>
      </c>
      <c r="AM43" s="18"/>
    </row>
    <row r="44" spans="1:39" ht="35.1" customHeight="1" x14ac:dyDescent="0.25">
      <c r="A44" s="69">
        <v>26</v>
      </c>
      <c r="B44" s="6" t="s">
        <v>195</v>
      </c>
      <c r="C44" s="44" t="s">
        <v>38</v>
      </c>
      <c r="D44" s="40" t="s">
        <v>196</v>
      </c>
      <c r="E44" s="73" t="s">
        <v>23</v>
      </c>
      <c r="F44" s="26">
        <v>11</v>
      </c>
      <c r="G44" s="30"/>
      <c r="H44" s="30"/>
      <c r="I44" s="26">
        <v>11</v>
      </c>
      <c r="J44" s="26">
        <v>11</v>
      </c>
      <c r="K44" s="306">
        <v>11</v>
      </c>
      <c r="L44" s="306">
        <v>11</v>
      </c>
      <c r="M44" s="26">
        <v>11</v>
      </c>
      <c r="N44" s="26">
        <v>11</v>
      </c>
      <c r="O44" s="30"/>
      <c r="P44" s="30"/>
      <c r="Q44" s="26">
        <v>11</v>
      </c>
      <c r="R44" s="26">
        <v>11</v>
      </c>
      <c r="S44" s="317"/>
      <c r="T44" s="30"/>
      <c r="U44" s="26">
        <v>11</v>
      </c>
      <c r="V44" s="26">
        <v>11</v>
      </c>
      <c r="W44" s="30"/>
      <c r="X44" s="30"/>
      <c r="Y44" s="26">
        <v>11</v>
      </c>
      <c r="Z44" s="26">
        <v>11</v>
      </c>
      <c r="AA44" s="30"/>
      <c r="AB44" s="30"/>
      <c r="AC44" s="26">
        <v>11</v>
      </c>
      <c r="AD44" s="26">
        <v>11</v>
      </c>
      <c r="AE44" s="30"/>
      <c r="AF44" s="317"/>
      <c r="AG44" s="26">
        <v>11</v>
      </c>
      <c r="AH44" s="26">
        <v>11</v>
      </c>
      <c r="AI44" s="30"/>
      <c r="AJ44" s="83">
        <f t="shared" si="9"/>
        <v>187</v>
      </c>
      <c r="AK44" s="215">
        <f t="shared" si="10"/>
        <v>17</v>
      </c>
      <c r="AL44" s="243">
        <f t="shared" si="11"/>
        <v>64146.666666610006</v>
      </c>
      <c r="AM44" s="15" t="s">
        <v>124</v>
      </c>
    </row>
    <row r="45" spans="1:39" ht="35.1" customHeight="1" x14ac:dyDescent="0.25">
      <c r="A45" s="52">
        <v>27</v>
      </c>
      <c r="B45" s="6" t="s">
        <v>225</v>
      </c>
      <c r="C45" s="44" t="s">
        <v>38</v>
      </c>
      <c r="D45" s="40" t="s">
        <v>226</v>
      </c>
      <c r="E45" s="73" t="s">
        <v>23</v>
      </c>
      <c r="F45" s="26">
        <v>11</v>
      </c>
      <c r="G45" s="30"/>
      <c r="H45" s="30"/>
      <c r="I45" s="26">
        <v>11</v>
      </c>
      <c r="J45" s="26">
        <v>11</v>
      </c>
      <c r="K45" s="317"/>
      <c r="L45" s="317"/>
      <c r="M45" s="26">
        <v>11</v>
      </c>
      <c r="N45" s="26">
        <v>11</v>
      </c>
      <c r="O45" s="30"/>
      <c r="P45" s="30"/>
      <c r="Q45" s="26">
        <v>11</v>
      </c>
      <c r="R45" s="26">
        <v>11</v>
      </c>
      <c r="S45" s="317"/>
      <c r="T45" s="30"/>
      <c r="U45" s="26">
        <v>11</v>
      </c>
      <c r="V45" s="26">
        <v>11</v>
      </c>
      <c r="W45" s="30"/>
      <c r="X45" s="30"/>
      <c r="Y45" s="26">
        <v>11</v>
      </c>
      <c r="Z45" s="26">
        <v>11</v>
      </c>
      <c r="AA45" s="30"/>
      <c r="AB45" s="30"/>
      <c r="AC45" s="26">
        <v>11</v>
      </c>
      <c r="AD45" s="26">
        <v>11</v>
      </c>
      <c r="AE45" s="30"/>
      <c r="AF45" s="317"/>
      <c r="AG45" s="26">
        <v>11</v>
      </c>
      <c r="AH45" s="26">
        <v>11</v>
      </c>
      <c r="AI45" s="30"/>
      <c r="AJ45" s="83">
        <f t="shared" si="9"/>
        <v>165</v>
      </c>
      <c r="AK45" s="215">
        <f t="shared" si="10"/>
        <v>15</v>
      </c>
      <c r="AL45" s="243">
        <f>AJ45*343.03030303</f>
        <v>56599.999999950007</v>
      </c>
      <c r="AM45" s="15"/>
    </row>
    <row r="46" spans="1:39" ht="35.1" customHeight="1" x14ac:dyDescent="0.25">
      <c r="A46" s="52"/>
      <c r="B46" s="6" t="s">
        <v>35</v>
      </c>
      <c r="C46" s="44" t="s">
        <v>38</v>
      </c>
      <c r="D46" s="40"/>
      <c r="E46" s="73" t="s">
        <v>23</v>
      </c>
      <c r="F46" s="30"/>
      <c r="G46" s="30"/>
      <c r="H46" s="30"/>
      <c r="I46" s="30"/>
      <c r="J46" s="30"/>
      <c r="K46" s="317"/>
      <c r="L46" s="317"/>
      <c r="M46" s="30"/>
      <c r="N46" s="30"/>
      <c r="O46" s="30"/>
      <c r="P46" s="30"/>
      <c r="Q46" s="30"/>
      <c r="R46" s="317"/>
      <c r="S46" s="317"/>
      <c r="T46" s="30"/>
      <c r="U46" s="30"/>
      <c r="V46" s="30"/>
      <c r="W46" s="30"/>
      <c r="X46" s="30"/>
      <c r="Y46" s="317"/>
      <c r="Z46" s="317"/>
      <c r="AA46" s="30"/>
      <c r="AB46" s="30"/>
      <c r="AC46" s="30"/>
      <c r="AD46" s="30"/>
      <c r="AE46" s="30"/>
      <c r="AF46" s="317"/>
      <c r="AG46" s="317"/>
      <c r="AH46" s="30"/>
      <c r="AI46" s="30"/>
      <c r="AJ46" s="83">
        <f t="shared" si="9"/>
        <v>0</v>
      </c>
      <c r="AK46" s="215">
        <f t="shared" si="10"/>
        <v>0</v>
      </c>
      <c r="AL46" s="219"/>
      <c r="AM46" s="17" t="s">
        <v>227</v>
      </c>
    </row>
    <row r="47" spans="1:39" ht="35.1" customHeight="1" x14ac:dyDescent="0.25">
      <c r="A47" s="52"/>
      <c r="B47" s="6" t="s">
        <v>35</v>
      </c>
      <c r="C47" s="44" t="s">
        <v>38</v>
      </c>
      <c r="D47" s="40"/>
      <c r="E47" s="73" t="s">
        <v>23</v>
      </c>
      <c r="F47" s="30"/>
      <c r="G47" s="30"/>
      <c r="H47" s="30"/>
      <c r="I47" s="30"/>
      <c r="J47" s="30"/>
      <c r="K47" s="317"/>
      <c r="L47" s="317"/>
      <c r="M47" s="30"/>
      <c r="N47" s="30"/>
      <c r="O47" s="30"/>
      <c r="P47" s="30"/>
      <c r="Q47" s="30"/>
      <c r="R47" s="317"/>
      <c r="S47" s="317"/>
      <c r="T47" s="30"/>
      <c r="U47" s="30"/>
      <c r="V47" s="30"/>
      <c r="W47" s="30"/>
      <c r="X47" s="30"/>
      <c r="Y47" s="317"/>
      <c r="Z47" s="317"/>
      <c r="AA47" s="30"/>
      <c r="AB47" s="30"/>
      <c r="AC47" s="30"/>
      <c r="AD47" s="30"/>
      <c r="AE47" s="30"/>
      <c r="AF47" s="317"/>
      <c r="AG47" s="317"/>
      <c r="AH47" s="30"/>
      <c r="AI47" s="30"/>
      <c r="AJ47" s="83">
        <f t="shared" si="9"/>
        <v>0</v>
      </c>
      <c r="AK47" s="215">
        <f t="shared" si="10"/>
        <v>0</v>
      </c>
      <c r="AL47" s="219"/>
      <c r="AM47" s="16"/>
    </row>
    <row r="48" spans="1:39" ht="35.1" customHeight="1" x14ac:dyDescent="0.25">
      <c r="A48" s="52"/>
      <c r="B48" s="6" t="s">
        <v>35</v>
      </c>
      <c r="C48" s="44" t="s">
        <v>38</v>
      </c>
      <c r="D48" s="40"/>
      <c r="E48" s="73" t="s">
        <v>23</v>
      </c>
      <c r="F48" s="30"/>
      <c r="G48" s="30"/>
      <c r="H48" s="30"/>
      <c r="I48" s="30"/>
      <c r="J48" s="30"/>
      <c r="K48" s="317"/>
      <c r="L48" s="317"/>
      <c r="M48" s="30"/>
      <c r="N48" s="30"/>
      <c r="O48" s="30"/>
      <c r="P48" s="30"/>
      <c r="Q48" s="30"/>
      <c r="R48" s="317"/>
      <c r="S48" s="317"/>
      <c r="T48" s="30"/>
      <c r="U48" s="30"/>
      <c r="V48" s="30"/>
      <c r="W48" s="30"/>
      <c r="X48" s="30"/>
      <c r="Y48" s="317"/>
      <c r="Z48" s="317"/>
      <c r="AA48" s="30"/>
      <c r="AB48" s="30"/>
      <c r="AC48" s="30"/>
      <c r="AD48" s="30"/>
      <c r="AE48" s="30"/>
      <c r="AF48" s="317"/>
      <c r="AG48" s="317"/>
      <c r="AH48" s="30"/>
      <c r="AI48" s="30"/>
      <c r="AJ48" s="83">
        <f t="shared" si="9"/>
        <v>0</v>
      </c>
      <c r="AK48" s="215">
        <f t="shared" si="10"/>
        <v>0</v>
      </c>
      <c r="AL48" s="219"/>
      <c r="AM48" s="16"/>
    </row>
    <row r="49" spans="1:40" ht="35.1" customHeight="1" x14ac:dyDescent="0.25">
      <c r="A49" s="52"/>
      <c r="B49" s="6" t="s">
        <v>35</v>
      </c>
      <c r="C49" s="44" t="s">
        <v>38</v>
      </c>
      <c r="D49" s="40"/>
      <c r="E49" s="73" t="s">
        <v>23</v>
      </c>
      <c r="F49" s="30"/>
      <c r="G49" s="30"/>
      <c r="H49" s="30"/>
      <c r="I49" s="30"/>
      <c r="J49" s="30"/>
      <c r="K49" s="317"/>
      <c r="L49" s="317"/>
      <c r="M49" s="30"/>
      <c r="N49" s="30"/>
      <c r="O49" s="30"/>
      <c r="P49" s="30"/>
      <c r="Q49" s="30"/>
      <c r="R49" s="317"/>
      <c r="S49" s="317"/>
      <c r="T49" s="30"/>
      <c r="U49" s="30"/>
      <c r="V49" s="30"/>
      <c r="W49" s="30"/>
      <c r="X49" s="30"/>
      <c r="Y49" s="317"/>
      <c r="Z49" s="317"/>
      <c r="AA49" s="30"/>
      <c r="AB49" s="30"/>
      <c r="AC49" s="30"/>
      <c r="AD49" s="30"/>
      <c r="AE49" s="30"/>
      <c r="AF49" s="317"/>
      <c r="AG49" s="317"/>
      <c r="AH49" s="30"/>
      <c r="AI49" s="30"/>
      <c r="AJ49" s="83">
        <f t="shared" si="9"/>
        <v>0</v>
      </c>
      <c r="AK49" s="215">
        <f t="shared" si="10"/>
        <v>0</v>
      </c>
      <c r="AL49" s="219"/>
      <c r="AM49" s="16"/>
    </row>
    <row r="50" spans="1:40" ht="35.1" customHeight="1" thickBot="1" x14ac:dyDescent="0.3">
      <c r="A50" s="94"/>
      <c r="B50" s="48" t="s">
        <v>35</v>
      </c>
      <c r="C50" s="45" t="s">
        <v>38</v>
      </c>
      <c r="D50" s="41"/>
      <c r="E50" s="74" t="s">
        <v>23</v>
      </c>
      <c r="F50" s="31"/>
      <c r="G50" s="31"/>
      <c r="H50" s="31"/>
      <c r="I50" s="31"/>
      <c r="J50" s="31"/>
      <c r="K50" s="318"/>
      <c r="L50" s="318"/>
      <c r="M50" s="31"/>
      <c r="N50" s="31"/>
      <c r="O50" s="31"/>
      <c r="P50" s="31"/>
      <c r="Q50" s="31"/>
      <c r="R50" s="318"/>
      <c r="S50" s="318"/>
      <c r="T50" s="31"/>
      <c r="U50" s="31"/>
      <c r="V50" s="31"/>
      <c r="W50" s="31"/>
      <c r="X50" s="31"/>
      <c r="Y50" s="318"/>
      <c r="Z50" s="318"/>
      <c r="AA50" s="31"/>
      <c r="AB50" s="31"/>
      <c r="AC50" s="31"/>
      <c r="AD50" s="31"/>
      <c r="AE50" s="31"/>
      <c r="AF50" s="318"/>
      <c r="AG50" s="318"/>
      <c r="AH50" s="31"/>
      <c r="AI50" s="31"/>
      <c r="AJ50" s="105">
        <f t="shared" si="9"/>
        <v>0</v>
      </c>
      <c r="AK50" s="216">
        <f t="shared" si="10"/>
        <v>0</v>
      </c>
      <c r="AL50" s="242"/>
      <c r="AM50" s="19"/>
    </row>
    <row r="51" spans="1:40" ht="24.75" customHeight="1" thickBot="1" x14ac:dyDescent="0.3">
      <c r="A51" s="394" t="s">
        <v>24</v>
      </c>
      <c r="B51" s="395"/>
      <c r="C51" s="395"/>
      <c r="D51" s="395"/>
      <c r="E51" s="396"/>
      <c r="F51" s="85">
        <f>COUNT(F40:F50)</f>
        <v>4</v>
      </c>
      <c r="G51" s="66">
        <f t="shared" ref="G51:AI51" si="12">COUNT(G40:G50)</f>
        <v>3</v>
      </c>
      <c r="H51" s="66">
        <f t="shared" si="12"/>
        <v>3</v>
      </c>
      <c r="I51" s="66">
        <f t="shared" si="12"/>
        <v>3</v>
      </c>
      <c r="J51" s="66">
        <f t="shared" si="12"/>
        <v>3</v>
      </c>
      <c r="K51" s="66">
        <f t="shared" si="12"/>
        <v>4</v>
      </c>
      <c r="L51" s="66">
        <f t="shared" si="12"/>
        <v>4</v>
      </c>
      <c r="M51" s="66">
        <f t="shared" si="12"/>
        <v>3</v>
      </c>
      <c r="N51" s="66">
        <f t="shared" si="12"/>
        <v>3</v>
      </c>
      <c r="O51" s="66">
        <f t="shared" si="12"/>
        <v>3</v>
      </c>
      <c r="P51" s="66">
        <f t="shared" si="12"/>
        <v>3</v>
      </c>
      <c r="Q51" s="66">
        <f t="shared" si="12"/>
        <v>3</v>
      </c>
      <c r="R51" s="66">
        <f t="shared" si="12"/>
        <v>3</v>
      </c>
      <c r="S51" s="66">
        <f t="shared" si="12"/>
        <v>3</v>
      </c>
      <c r="T51" s="66">
        <f t="shared" si="12"/>
        <v>4</v>
      </c>
      <c r="U51" s="66">
        <f t="shared" si="12"/>
        <v>3</v>
      </c>
      <c r="V51" s="66">
        <f t="shared" si="12"/>
        <v>3</v>
      </c>
      <c r="W51" s="66">
        <f t="shared" si="12"/>
        <v>4</v>
      </c>
      <c r="X51" s="66">
        <f t="shared" si="12"/>
        <v>4</v>
      </c>
      <c r="Y51" s="66">
        <f t="shared" si="12"/>
        <v>3</v>
      </c>
      <c r="Z51" s="66">
        <f t="shared" si="12"/>
        <v>3</v>
      </c>
      <c r="AA51" s="66">
        <f t="shared" si="12"/>
        <v>4</v>
      </c>
      <c r="AB51" s="66">
        <f t="shared" si="12"/>
        <v>4</v>
      </c>
      <c r="AC51" s="66">
        <f t="shared" si="12"/>
        <v>3</v>
      </c>
      <c r="AD51" s="66">
        <f t="shared" si="12"/>
        <v>3</v>
      </c>
      <c r="AE51" s="66">
        <f t="shared" si="12"/>
        <v>4</v>
      </c>
      <c r="AF51" s="66">
        <f t="shared" si="12"/>
        <v>4</v>
      </c>
      <c r="AG51" s="66">
        <f t="shared" si="12"/>
        <v>2</v>
      </c>
      <c r="AH51" s="66">
        <f t="shared" si="12"/>
        <v>3</v>
      </c>
      <c r="AI51" s="67">
        <f t="shared" si="12"/>
        <v>4</v>
      </c>
      <c r="AJ51" s="85">
        <f>SUM(AJ40:AJ50)</f>
        <v>1008</v>
      </c>
      <c r="AK51" s="67">
        <f>SUM(AK40:AK50)</f>
        <v>99</v>
      </c>
      <c r="AL51" s="312">
        <f>AM51-AL40-AL41-AL42-AL43-AL44</f>
        <v>310465.45454599801</v>
      </c>
      <c r="AM51" s="308">
        <v>636000</v>
      </c>
    </row>
    <row r="52" spans="1:40" ht="39.75" customHeight="1" thickBot="1" x14ac:dyDescent="0.3">
      <c r="A52" s="384" t="s">
        <v>192</v>
      </c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6"/>
      <c r="AM52" s="16"/>
    </row>
    <row r="53" spans="1:40" ht="35.1" customHeight="1" x14ac:dyDescent="0.25">
      <c r="A53" s="69">
        <v>28</v>
      </c>
      <c r="B53" s="103" t="s">
        <v>50</v>
      </c>
      <c r="C53" s="71" t="s">
        <v>51</v>
      </c>
      <c r="D53" s="112" t="s">
        <v>52</v>
      </c>
      <c r="E53" s="91" t="s">
        <v>2</v>
      </c>
      <c r="F53" s="23">
        <v>8</v>
      </c>
      <c r="G53" s="24">
        <v>8</v>
      </c>
      <c r="H53" s="24">
        <v>8</v>
      </c>
      <c r="I53" s="24">
        <v>8</v>
      </c>
      <c r="J53" s="24">
        <v>8</v>
      </c>
      <c r="K53" s="63"/>
      <c r="L53" s="63"/>
      <c r="M53" s="24">
        <v>8</v>
      </c>
      <c r="N53" s="24">
        <v>8</v>
      </c>
      <c r="O53" s="24">
        <v>8</v>
      </c>
      <c r="P53" s="24">
        <v>8</v>
      </c>
      <c r="Q53" s="24">
        <v>8</v>
      </c>
      <c r="R53" s="63"/>
      <c r="S53" s="63"/>
      <c r="T53" s="24">
        <v>8</v>
      </c>
      <c r="U53" s="24">
        <v>8</v>
      </c>
      <c r="V53" s="24">
        <v>8</v>
      </c>
      <c r="W53" s="24">
        <v>8</v>
      </c>
      <c r="X53" s="24">
        <v>8</v>
      </c>
      <c r="Y53" s="63"/>
      <c r="Z53" s="63"/>
      <c r="AA53" s="300" t="s">
        <v>170</v>
      </c>
      <c r="AB53" s="300" t="s">
        <v>170</v>
      </c>
      <c r="AC53" s="300" t="s">
        <v>170</v>
      </c>
      <c r="AD53" s="300" t="s">
        <v>170</v>
      </c>
      <c r="AE53" s="300" t="s">
        <v>170</v>
      </c>
      <c r="AF53" s="300" t="s">
        <v>170</v>
      </c>
      <c r="AG53" s="300" t="s">
        <v>170</v>
      </c>
      <c r="AH53" s="24">
        <v>8</v>
      </c>
      <c r="AI53" s="24">
        <v>8</v>
      </c>
      <c r="AJ53" s="83">
        <f t="shared" ref="AJ53:AJ60" si="13">SUM(F53:AI53)</f>
        <v>136</v>
      </c>
      <c r="AK53" s="215">
        <f t="shared" ref="AK53" si="14">AJ53/8</f>
        <v>17</v>
      </c>
      <c r="AL53" s="245">
        <f>AJ53*511.363636362</f>
        <v>69545.454545232002</v>
      </c>
      <c r="AM53" s="15" t="s">
        <v>124</v>
      </c>
    </row>
    <row r="54" spans="1:40" ht="35.1" customHeight="1" x14ac:dyDescent="0.25">
      <c r="A54" s="69">
        <v>29</v>
      </c>
      <c r="B54" s="49" t="s">
        <v>120</v>
      </c>
      <c r="C54" s="330" t="s">
        <v>54</v>
      </c>
      <c r="D54" s="113" t="s">
        <v>121</v>
      </c>
      <c r="E54" s="73" t="s">
        <v>23</v>
      </c>
      <c r="F54" s="303" t="s">
        <v>170</v>
      </c>
      <c r="G54" s="303" t="s">
        <v>170</v>
      </c>
      <c r="H54" s="303" t="s">
        <v>170</v>
      </c>
      <c r="I54" s="303" t="s">
        <v>170</v>
      </c>
      <c r="J54" s="303" t="s">
        <v>170</v>
      </c>
      <c r="K54" s="303" t="s">
        <v>170</v>
      </c>
      <c r="L54" s="303" t="s">
        <v>170</v>
      </c>
      <c r="M54" s="303" t="s">
        <v>170</v>
      </c>
      <c r="N54" s="303" t="s">
        <v>170</v>
      </c>
      <c r="O54" s="303" t="s">
        <v>170</v>
      </c>
      <c r="P54" s="303" t="s">
        <v>170</v>
      </c>
      <c r="Q54" s="303" t="s">
        <v>170</v>
      </c>
      <c r="R54" s="303" t="s">
        <v>170</v>
      </c>
      <c r="S54" s="303" t="s">
        <v>170</v>
      </c>
      <c r="T54" s="28"/>
      <c r="U54" s="27">
        <v>11</v>
      </c>
      <c r="V54" s="27">
        <v>11</v>
      </c>
      <c r="W54" s="28"/>
      <c r="X54" s="28"/>
      <c r="Y54" s="27">
        <v>11</v>
      </c>
      <c r="Z54" s="27">
        <v>11</v>
      </c>
      <c r="AA54" s="28"/>
      <c r="AB54" s="28"/>
      <c r="AC54" s="27">
        <v>11</v>
      </c>
      <c r="AD54" s="27">
        <v>11</v>
      </c>
      <c r="AE54" s="28"/>
      <c r="AF54" s="64"/>
      <c r="AG54" s="27">
        <v>11</v>
      </c>
      <c r="AH54" s="27">
        <v>11</v>
      </c>
      <c r="AI54" s="28"/>
      <c r="AJ54" s="83">
        <f t="shared" si="13"/>
        <v>88</v>
      </c>
      <c r="AK54" s="215">
        <f t="shared" ref="AK54:AK60" si="15">AJ54/11</f>
        <v>8</v>
      </c>
      <c r="AL54" s="243">
        <f>AJ54*343.03030303</f>
        <v>30186.666666640001</v>
      </c>
      <c r="AM54" s="15" t="s">
        <v>124</v>
      </c>
      <c r="AN54" s="5"/>
    </row>
    <row r="55" spans="1:40" ht="35.1" customHeight="1" x14ac:dyDescent="0.25">
      <c r="A55" s="69">
        <v>30</v>
      </c>
      <c r="B55" s="49" t="s">
        <v>133</v>
      </c>
      <c r="C55" s="330" t="s">
        <v>54</v>
      </c>
      <c r="D55" s="113" t="s">
        <v>134</v>
      </c>
      <c r="E55" s="73" t="s">
        <v>23</v>
      </c>
      <c r="F55" s="28"/>
      <c r="G55" s="27">
        <v>11</v>
      </c>
      <c r="H55" s="27">
        <v>11</v>
      </c>
      <c r="I55" s="28"/>
      <c r="J55" s="28"/>
      <c r="K55" s="27">
        <v>11</v>
      </c>
      <c r="L55" s="27">
        <v>11</v>
      </c>
      <c r="M55" s="28"/>
      <c r="N55" s="28"/>
      <c r="O55" s="27">
        <v>11</v>
      </c>
      <c r="P55" s="27">
        <v>11</v>
      </c>
      <c r="Q55" s="28"/>
      <c r="R55" s="64"/>
      <c r="S55" s="27">
        <v>11</v>
      </c>
      <c r="T55" s="27">
        <v>11</v>
      </c>
      <c r="U55" s="28"/>
      <c r="V55" s="28"/>
      <c r="W55" s="27">
        <v>11</v>
      </c>
      <c r="X55" s="27">
        <v>11</v>
      </c>
      <c r="Y55" s="64"/>
      <c r="Z55" s="64"/>
      <c r="AA55" s="27">
        <v>11</v>
      </c>
      <c r="AB55" s="27">
        <v>11</v>
      </c>
      <c r="AC55" s="28"/>
      <c r="AD55" s="28"/>
      <c r="AE55" s="27">
        <v>11</v>
      </c>
      <c r="AF55" s="27">
        <v>11</v>
      </c>
      <c r="AG55" s="64"/>
      <c r="AH55" s="28"/>
      <c r="AI55" s="27">
        <v>11</v>
      </c>
      <c r="AJ55" s="83">
        <f t="shared" si="13"/>
        <v>165</v>
      </c>
      <c r="AK55" s="215">
        <f t="shared" si="15"/>
        <v>15</v>
      </c>
      <c r="AL55" s="243">
        <f>AJ55*343.03030303</f>
        <v>56599.999999950007</v>
      </c>
      <c r="AM55" s="15"/>
    </row>
    <row r="56" spans="1:40" ht="35.1" customHeight="1" x14ac:dyDescent="0.25">
      <c r="A56" s="69">
        <v>31</v>
      </c>
      <c r="B56" s="49" t="s">
        <v>149</v>
      </c>
      <c r="C56" s="330" t="s">
        <v>54</v>
      </c>
      <c r="D56" s="113" t="s">
        <v>148</v>
      </c>
      <c r="E56" s="73" t="s">
        <v>23</v>
      </c>
      <c r="F56" s="28"/>
      <c r="G56" s="27">
        <v>11</v>
      </c>
      <c r="H56" s="27">
        <v>11</v>
      </c>
      <c r="I56" s="28"/>
      <c r="J56" s="28"/>
      <c r="K56" s="27">
        <v>11</v>
      </c>
      <c r="L56" s="27">
        <v>11</v>
      </c>
      <c r="M56" s="28"/>
      <c r="N56" s="28"/>
      <c r="O56" s="27">
        <v>11</v>
      </c>
      <c r="P56" s="27">
        <v>11</v>
      </c>
      <c r="Q56" s="28"/>
      <c r="R56" s="64"/>
      <c r="S56" s="27">
        <v>11</v>
      </c>
      <c r="T56" s="27">
        <v>11</v>
      </c>
      <c r="U56" s="28"/>
      <c r="V56" s="28"/>
      <c r="W56" s="27">
        <v>11</v>
      </c>
      <c r="X56" s="285" t="s">
        <v>172</v>
      </c>
      <c r="Y56" s="64"/>
      <c r="Z56" s="64"/>
      <c r="AA56" s="27">
        <v>11</v>
      </c>
      <c r="AB56" s="27">
        <v>11</v>
      </c>
      <c r="AC56" s="28"/>
      <c r="AD56" s="28"/>
      <c r="AE56" s="27">
        <v>11</v>
      </c>
      <c r="AF56" s="27">
        <v>11</v>
      </c>
      <c r="AG56" s="64"/>
      <c r="AH56" s="28"/>
      <c r="AI56" s="27">
        <v>11</v>
      </c>
      <c r="AJ56" s="83">
        <f t="shared" si="13"/>
        <v>154</v>
      </c>
      <c r="AK56" s="215">
        <f t="shared" si="15"/>
        <v>14</v>
      </c>
      <c r="AL56" s="243">
        <f>AJ56*343.03030303</f>
        <v>52826.666666620004</v>
      </c>
      <c r="AM56" s="15"/>
    </row>
    <row r="57" spans="1:40" ht="35.1" customHeight="1" x14ac:dyDescent="0.25">
      <c r="A57" s="69">
        <v>32</v>
      </c>
      <c r="B57" s="49" t="s">
        <v>210</v>
      </c>
      <c r="C57" s="330" t="s">
        <v>54</v>
      </c>
      <c r="D57" s="113" t="s">
        <v>212</v>
      </c>
      <c r="E57" s="73" t="s">
        <v>23</v>
      </c>
      <c r="F57" s="27">
        <v>11</v>
      </c>
      <c r="G57" s="213">
        <v>11</v>
      </c>
      <c r="H57" s="28"/>
      <c r="I57" s="27">
        <v>11</v>
      </c>
      <c r="J57" s="27">
        <v>11</v>
      </c>
      <c r="K57" s="213">
        <v>11</v>
      </c>
      <c r="L57" s="64"/>
      <c r="M57" s="27">
        <v>11</v>
      </c>
      <c r="N57" s="27">
        <v>11</v>
      </c>
      <c r="O57" s="213">
        <v>11</v>
      </c>
      <c r="P57" s="28"/>
      <c r="Q57" s="27">
        <v>11</v>
      </c>
      <c r="R57" s="27">
        <v>11</v>
      </c>
      <c r="S57" s="213">
        <v>11</v>
      </c>
      <c r="T57" s="28"/>
      <c r="U57" s="27">
        <v>11</v>
      </c>
      <c r="V57" s="27">
        <v>11</v>
      </c>
      <c r="W57" s="213">
        <v>11</v>
      </c>
      <c r="X57" s="28"/>
      <c r="Y57" s="27">
        <v>11</v>
      </c>
      <c r="Z57" s="27">
        <v>11</v>
      </c>
      <c r="AA57" s="213">
        <v>11</v>
      </c>
      <c r="AB57" s="28"/>
      <c r="AC57" s="27">
        <v>11</v>
      </c>
      <c r="AD57" s="27">
        <v>11</v>
      </c>
      <c r="AE57" s="213">
        <v>11</v>
      </c>
      <c r="AF57" s="64"/>
      <c r="AG57" s="27">
        <v>11</v>
      </c>
      <c r="AH57" s="27">
        <v>11</v>
      </c>
      <c r="AI57" s="28"/>
      <c r="AJ57" s="83">
        <f t="shared" si="13"/>
        <v>242</v>
      </c>
      <c r="AK57" s="215">
        <f t="shared" si="15"/>
        <v>22</v>
      </c>
      <c r="AL57" s="243">
        <f>AJ57*343.03030303</f>
        <v>83013.333333260001</v>
      </c>
      <c r="AM57" s="15" t="s">
        <v>124</v>
      </c>
    </row>
    <row r="58" spans="1:40" ht="35.1" customHeight="1" x14ac:dyDescent="0.25">
      <c r="A58" s="69"/>
      <c r="B58" s="49" t="s">
        <v>35</v>
      </c>
      <c r="C58" s="330" t="s">
        <v>54</v>
      </c>
      <c r="D58" s="113"/>
      <c r="E58" s="73" t="s">
        <v>23</v>
      </c>
      <c r="F58" s="28"/>
      <c r="G58" s="28"/>
      <c r="H58" s="28"/>
      <c r="I58" s="28"/>
      <c r="J58" s="28"/>
      <c r="K58" s="64"/>
      <c r="L58" s="64"/>
      <c r="M58" s="28"/>
      <c r="N58" s="28"/>
      <c r="O58" s="28"/>
      <c r="P58" s="28"/>
      <c r="Q58" s="28"/>
      <c r="R58" s="64"/>
      <c r="S58" s="64"/>
      <c r="T58" s="28"/>
      <c r="U58" s="28"/>
      <c r="V58" s="28"/>
      <c r="W58" s="28"/>
      <c r="X58" s="28"/>
      <c r="Y58" s="64"/>
      <c r="Z58" s="64"/>
      <c r="AA58" s="28"/>
      <c r="AB58" s="28"/>
      <c r="AC58" s="28"/>
      <c r="AD58" s="28"/>
      <c r="AE58" s="28"/>
      <c r="AF58" s="64"/>
      <c r="AG58" s="64"/>
      <c r="AH58" s="28"/>
      <c r="AI58" s="28"/>
      <c r="AJ58" s="83">
        <f t="shared" si="13"/>
        <v>0</v>
      </c>
      <c r="AK58" s="215">
        <f t="shared" si="15"/>
        <v>0</v>
      </c>
      <c r="AL58" s="243"/>
      <c r="AM58" s="329" t="s">
        <v>224</v>
      </c>
    </row>
    <row r="59" spans="1:40" ht="34.9" customHeight="1" x14ac:dyDescent="0.25">
      <c r="A59" s="52"/>
      <c r="B59" s="49" t="s">
        <v>35</v>
      </c>
      <c r="C59" s="330" t="s">
        <v>54</v>
      </c>
      <c r="D59" s="113"/>
      <c r="E59" s="73" t="s">
        <v>23</v>
      </c>
      <c r="F59" s="28"/>
      <c r="G59" s="28"/>
      <c r="H59" s="28"/>
      <c r="I59" s="28"/>
      <c r="J59" s="28"/>
      <c r="K59" s="64"/>
      <c r="L59" s="64"/>
      <c r="M59" s="28"/>
      <c r="N59" s="28"/>
      <c r="O59" s="28"/>
      <c r="P59" s="28"/>
      <c r="Q59" s="28"/>
      <c r="R59" s="64"/>
      <c r="S59" s="64"/>
      <c r="T59" s="28"/>
      <c r="U59" s="28"/>
      <c r="V59" s="28"/>
      <c r="W59" s="28"/>
      <c r="X59" s="28"/>
      <c r="Y59" s="64"/>
      <c r="Z59" s="64"/>
      <c r="AA59" s="28"/>
      <c r="AB59" s="28"/>
      <c r="AC59" s="28"/>
      <c r="AD59" s="28"/>
      <c r="AE59" s="28"/>
      <c r="AF59" s="64"/>
      <c r="AG59" s="64"/>
      <c r="AH59" s="28"/>
      <c r="AI59" s="28"/>
      <c r="AJ59" s="83">
        <f t="shared" si="13"/>
        <v>0</v>
      </c>
      <c r="AK59" s="215">
        <f t="shared" si="15"/>
        <v>0</v>
      </c>
      <c r="AL59" s="219"/>
      <c r="AM59" s="15"/>
    </row>
    <row r="60" spans="1:40" ht="35.1" customHeight="1" thickBot="1" x14ac:dyDescent="0.3">
      <c r="A60" s="94"/>
      <c r="B60" s="108" t="s">
        <v>35</v>
      </c>
      <c r="C60" s="331" t="s">
        <v>54</v>
      </c>
      <c r="D60" s="114"/>
      <c r="E60" s="74" t="s">
        <v>23</v>
      </c>
      <c r="F60" s="32"/>
      <c r="G60" s="32"/>
      <c r="H60" s="32"/>
      <c r="I60" s="32"/>
      <c r="J60" s="32"/>
      <c r="K60" s="65"/>
      <c r="L60" s="65"/>
      <c r="M60" s="32"/>
      <c r="N60" s="32"/>
      <c r="O60" s="32"/>
      <c r="P60" s="32"/>
      <c r="Q60" s="32"/>
      <c r="R60" s="65"/>
      <c r="S60" s="65"/>
      <c r="T60" s="32"/>
      <c r="U60" s="32"/>
      <c r="V60" s="32"/>
      <c r="W60" s="32"/>
      <c r="X60" s="32"/>
      <c r="Y60" s="65"/>
      <c r="Z60" s="65"/>
      <c r="AA60" s="32"/>
      <c r="AB60" s="32"/>
      <c r="AC60" s="32"/>
      <c r="AD60" s="32"/>
      <c r="AE60" s="32"/>
      <c r="AF60" s="65"/>
      <c r="AG60" s="65"/>
      <c r="AH60" s="32"/>
      <c r="AI60" s="32"/>
      <c r="AJ60" s="105">
        <f t="shared" si="13"/>
        <v>0</v>
      </c>
      <c r="AK60" s="216">
        <f t="shared" si="15"/>
        <v>0</v>
      </c>
      <c r="AL60" s="242"/>
      <c r="AM60" s="20"/>
    </row>
    <row r="61" spans="1:40" ht="21.75" customHeight="1" thickBot="1" x14ac:dyDescent="0.3">
      <c r="A61" s="387" t="s">
        <v>24</v>
      </c>
      <c r="B61" s="388"/>
      <c r="C61" s="388"/>
      <c r="D61" s="388"/>
      <c r="E61" s="388"/>
      <c r="F61" s="85">
        <f t="shared" ref="F61:AI61" si="16">COUNT(F53:F60)</f>
        <v>2</v>
      </c>
      <c r="G61" s="66">
        <f t="shared" si="16"/>
        <v>4</v>
      </c>
      <c r="H61" s="66">
        <f t="shared" si="16"/>
        <v>3</v>
      </c>
      <c r="I61" s="66">
        <f t="shared" si="16"/>
        <v>2</v>
      </c>
      <c r="J61" s="66">
        <f t="shared" si="16"/>
        <v>2</v>
      </c>
      <c r="K61" s="66">
        <f t="shared" si="16"/>
        <v>3</v>
      </c>
      <c r="L61" s="66">
        <f t="shared" si="16"/>
        <v>2</v>
      </c>
      <c r="M61" s="66">
        <f t="shared" si="16"/>
        <v>2</v>
      </c>
      <c r="N61" s="66">
        <f t="shared" si="16"/>
        <v>2</v>
      </c>
      <c r="O61" s="66">
        <f t="shared" si="16"/>
        <v>4</v>
      </c>
      <c r="P61" s="66">
        <f t="shared" si="16"/>
        <v>3</v>
      </c>
      <c r="Q61" s="66">
        <f t="shared" si="16"/>
        <v>2</v>
      </c>
      <c r="R61" s="66">
        <f t="shared" si="16"/>
        <v>1</v>
      </c>
      <c r="S61" s="66">
        <f t="shared" si="16"/>
        <v>3</v>
      </c>
      <c r="T61" s="66">
        <f t="shared" si="16"/>
        <v>3</v>
      </c>
      <c r="U61" s="66">
        <f t="shared" si="16"/>
        <v>3</v>
      </c>
      <c r="V61" s="66">
        <f t="shared" si="16"/>
        <v>3</v>
      </c>
      <c r="W61" s="66">
        <f t="shared" si="16"/>
        <v>4</v>
      </c>
      <c r="X61" s="66">
        <f t="shared" si="16"/>
        <v>2</v>
      </c>
      <c r="Y61" s="66">
        <f t="shared" si="16"/>
        <v>2</v>
      </c>
      <c r="Z61" s="66">
        <f t="shared" si="16"/>
        <v>2</v>
      </c>
      <c r="AA61" s="66">
        <f t="shared" si="16"/>
        <v>3</v>
      </c>
      <c r="AB61" s="66">
        <f t="shared" si="16"/>
        <v>2</v>
      </c>
      <c r="AC61" s="66">
        <f t="shared" si="16"/>
        <v>2</v>
      </c>
      <c r="AD61" s="66">
        <f t="shared" si="16"/>
        <v>2</v>
      </c>
      <c r="AE61" s="66">
        <f t="shared" si="16"/>
        <v>3</v>
      </c>
      <c r="AF61" s="66">
        <f t="shared" si="16"/>
        <v>2</v>
      </c>
      <c r="AG61" s="66">
        <f t="shared" si="16"/>
        <v>2</v>
      </c>
      <c r="AH61" s="66">
        <f t="shared" si="16"/>
        <v>3</v>
      </c>
      <c r="AI61" s="66">
        <f t="shared" si="16"/>
        <v>3</v>
      </c>
      <c r="AJ61" s="107">
        <f>SUM(AJ53:AJ60)</f>
        <v>785</v>
      </c>
      <c r="AK61" s="67">
        <f>SUM(AK53:AK60)</f>
        <v>76</v>
      </c>
      <c r="AL61" s="312">
        <f>AM61-AL53-AL54-AL55-AL56-AL57</f>
        <v>174027.87878829797</v>
      </c>
      <c r="AM61" s="308">
        <v>466200</v>
      </c>
    </row>
    <row r="62" spans="1:40" ht="41.25" customHeight="1" thickBot="1" x14ac:dyDescent="0.3">
      <c r="A62" s="378" t="s">
        <v>193</v>
      </c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79"/>
      <c r="AI62" s="379"/>
      <c r="AJ62" s="379"/>
      <c r="AK62" s="379"/>
      <c r="AL62" s="380"/>
      <c r="AM62" s="16"/>
    </row>
    <row r="63" spans="1:40" ht="35.1" customHeight="1" thickBot="1" x14ac:dyDescent="0.3">
      <c r="A63" s="262">
        <v>33</v>
      </c>
      <c r="B63" s="263" t="s">
        <v>57</v>
      </c>
      <c r="C63" s="332" t="s">
        <v>58</v>
      </c>
      <c r="D63" s="265" t="s">
        <v>59</v>
      </c>
      <c r="E63" s="266" t="s">
        <v>2</v>
      </c>
      <c r="F63" s="226">
        <v>8</v>
      </c>
      <c r="G63" s="226">
        <v>8</v>
      </c>
      <c r="H63" s="226">
        <v>8</v>
      </c>
      <c r="I63" s="226">
        <v>8</v>
      </c>
      <c r="J63" s="226">
        <v>8</v>
      </c>
      <c r="K63" s="319"/>
      <c r="L63" s="319"/>
      <c r="M63" s="226">
        <v>8</v>
      </c>
      <c r="N63" s="226">
        <v>8</v>
      </c>
      <c r="O63" s="226">
        <v>8</v>
      </c>
      <c r="P63" s="226">
        <v>8</v>
      </c>
      <c r="Q63" s="226">
        <v>8</v>
      </c>
      <c r="R63" s="319"/>
      <c r="S63" s="319"/>
      <c r="T63" s="227">
        <v>8</v>
      </c>
      <c r="U63" s="227">
        <v>8</v>
      </c>
      <c r="V63" s="227">
        <v>8</v>
      </c>
      <c r="W63" s="227">
        <v>8</v>
      </c>
      <c r="X63" s="227">
        <v>8</v>
      </c>
      <c r="Y63" s="228"/>
      <c r="Z63" s="228"/>
      <c r="AA63" s="227">
        <v>8</v>
      </c>
      <c r="AB63" s="227">
        <v>8</v>
      </c>
      <c r="AC63" s="227">
        <v>8</v>
      </c>
      <c r="AD63" s="227">
        <v>8</v>
      </c>
      <c r="AE63" s="227">
        <v>8</v>
      </c>
      <c r="AF63" s="228"/>
      <c r="AG63" s="228"/>
      <c r="AH63" s="227">
        <v>8</v>
      </c>
      <c r="AI63" s="227">
        <v>8</v>
      </c>
      <c r="AJ63" s="105">
        <f>SUM(F63:AI63)</f>
        <v>176</v>
      </c>
      <c r="AK63" s="216">
        <f>AJ63/8</f>
        <v>22</v>
      </c>
      <c r="AL63" s="267">
        <f>AK63*2954.54545454</f>
        <v>64999.999999879998</v>
      </c>
      <c r="AM63" s="21"/>
    </row>
    <row r="64" spans="1:40" ht="22.5" customHeight="1" thickBot="1" x14ac:dyDescent="0.3">
      <c r="A64" s="387" t="s">
        <v>24</v>
      </c>
      <c r="B64" s="388"/>
      <c r="C64" s="388"/>
      <c r="D64" s="388"/>
      <c r="E64" s="393"/>
      <c r="F64" s="268">
        <f t="shared" ref="F64:AF64" si="17">F63</f>
        <v>8</v>
      </c>
      <c r="G64" s="268">
        <f t="shared" si="17"/>
        <v>8</v>
      </c>
      <c r="H64" s="268">
        <f t="shared" si="17"/>
        <v>8</v>
      </c>
      <c r="I64" s="268">
        <f t="shared" si="17"/>
        <v>8</v>
      </c>
      <c r="J64" s="268">
        <f t="shared" si="17"/>
        <v>8</v>
      </c>
      <c r="K64" s="268">
        <f t="shared" si="17"/>
        <v>0</v>
      </c>
      <c r="L64" s="268">
        <f t="shared" si="17"/>
        <v>0</v>
      </c>
      <c r="M64" s="268">
        <f t="shared" si="17"/>
        <v>8</v>
      </c>
      <c r="N64" s="268">
        <f t="shared" si="17"/>
        <v>8</v>
      </c>
      <c r="O64" s="268">
        <f t="shared" si="17"/>
        <v>8</v>
      </c>
      <c r="P64" s="268">
        <f t="shared" si="17"/>
        <v>8</v>
      </c>
      <c r="Q64" s="268">
        <f t="shared" si="17"/>
        <v>8</v>
      </c>
      <c r="R64" s="268">
        <f t="shared" si="17"/>
        <v>0</v>
      </c>
      <c r="S64" s="268">
        <f t="shared" si="17"/>
        <v>0</v>
      </c>
      <c r="T64" s="268">
        <f t="shared" si="17"/>
        <v>8</v>
      </c>
      <c r="U64" s="268">
        <f t="shared" si="17"/>
        <v>8</v>
      </c>
      <c r="V64" s="268">
        <f t="shared" si="17"/>
        <v>8</v>
      </c>
      <c r="W64" s="268">
        <f t="shared" si="17"/>
        <v>8</v>
      </c>
      <c r="X64" s="268">
        <f t="shared" si="17"/>
        <v>8</v>
      </c>
      <c r="Y64" s="268">
        <f t="shared" si="17"/>
        <v>0</v>
      </c>
      <c r="Z64" s="268">
        <f t="shared" si="17"/>
        <v>0</v>
      </c>
      <c r="AA64" s="268">
        <f t="shared" si="17"/>
        <v>8</v>
      </c>
      <c r="AB64" s="268">
        <f t="shared" si="17"/>
        <v>8</v>
      </c>
      <c r="AC64" s="268">
        <f t="shared" si="17"/>
        <v>8</v>
      </c>
      <c r="AD64" s="268">
        <f t="shared" si="17"/>
        <v>8</v>
      </c>
      <c r="AE64" s="268">
        <f t="shared" si="17"/>
        <v>8</v>
      </c>
      <c r="AF64" s="268">
        <f t="shared" si="17"/>
        <v>0</v>
      </c>
      <c r="AG64" s="66">
        <v>0</v>
      </c>
      <c r="AH64" s="66">
        <v>0</v>
      </c>
      <c r="AI64" s="66">
        <v>0</v>
      </c>
      <c r="AJ64" s="85">
        <f>SUM(AJ63)</f>
        <v>176</v>
      </c>
      <c r="AK64" s="269">
        <f>SUM(AK63)</f>
        <v>22</v>
      </c>
      <c r="AL64" s="281">
        <f>AM64-AL63</f>
        <v>1.2000236893072724E-7</v>
      </c>
      <c r="AM64" s="308">
        <v>65000</v>
      </c>
    </row>
    <row r="65" spans="1:40" ht="40.5" customHeight="1" thickBot="1" x14ac:dyDescent="0.3">
      <c r="A65" s="378" t="s">
        <v>194</v>
      </c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79"/>
      <c r="AG65" s="379"/>
      <c r="AH65" s="379"/>
      <c r="AI65" s="379"/>
      <c r="AJ65" s="379"/>
      <c r="AK65" s="379"/>
      <c r="AL65" s="380"/>
      <c r="AM65" s="16"/>
    </row>
    <row r="66" spans="1:40" ht="35.1" customHeight="1" x14ac:dyDescent="0.25">
      <c r="A66" s="69">
        <v>34</v>
      </c>
      <c r="B66" s="120" t="s">
        <v>105</v>
      </c>
      <c r="C66" s="333" t="s">
        <v>60</v>
      </c>
      <c r="D66" s="122" t="s">
        <v>61</v>
      </c>
      <c r="E66" s="123" t="s">
        <v>62</v>
      </c>
      <c r="F66" s="238"/>
      <c r="G66" s="25"/>
      <c r="H66" s="24">
        <v>24</v>
      </c>
      <c r="I66" s="25"/>
      <c r="J66" s="25"/>
      <c r="K66" s="307">
        <v>12</v>
      </c>
      <c r="L66" s="24">
        <v>24</v>
      </c>
      <c r="M66" s="25"/>
      <c r="N66" s="25"/>
      <c r="O66" s="307">
        <v>12</v>
      </c>
      <c r="P66" s="24">
        <v>24</v>
      </c>
      <c r="Q66" s="25"/>
      <c r="R66" s="317"/>
      <c r="S66" s="63"/>
      <c r="T66" s="24">
        <v>24</v>
      </c>
      <c r="U66" s="25"/>
      <c r="V66" s="25"/>
      <c r="W66" s="25"/>
      <c r="X66" s="24">
        <v>24</v>
      </c>
      <c r="Y66" s="63"/>
      <c r="Z66" s="63"/>
      <c r="AA66" s="25"/>
      <c r="AB66" s="24">
        <v>24</v>
      </c>
      <c r="AC66" s="25"/>
      <c r="AD66" s="25"/>
      <c r="AE66" s="25"/>
      <c r="AF66" s="24">
        <v>24</v>
      </c>
      <c r="AG66" s="63"/>
      <c r="AH66" s="25"/>
      <c r="AI66" s="25"/>
      <c r="AJ66" s="134">
        <f>SUM(F66:AI66)</f>
        <v>192</v>
      </c>
      <c r="AK66" s="133">
        <f>SUM(AJ66/24)</f>
        <v>8</v>
      </c>
      <c r="AL66" s="247">
        <f>AJ66*386.904761904</f>
        <v>74285.714285567999</v>
      </c>
      <c r="AM66" s="15" t="s">
        <v>124</v>
      </c>
      <c r="AN66" s="1"/>
    </row>
    <row r="67" spans="1:40" ht="35.1" customHeight="1" x14ac:dyDescent="0.25">
      <c r="A67" s="69">
        <v>35</v>
      </c>
      <c r="B67" s="124" t="s">
        <v>63</v>
      </c>
      <c r="C67" s="334" t="s">
        <v>137</v>
      </c>
      <c r="D67" s="125" t="s">
        <v>64</v>
      </c>
      <c r="E67" s="126" t="s">
        <v>62</v>
      </c>
      <c r="F67" s="30"/>
      <c r="G67" s="30"/>
      <c r="H67" s="26">
        <v>24</v>
      </c>
      <c r="I67" s="30"/>
      <c r="J67" s="30"/>
      <c r="K67" s="306">
        <v>12</v>
      </c>
      <c r="L67" s="26">
        <v>24</v>
      </c>
      <c r="M67" s="30"/>
      <c r="N67" s="30"/>
      <c r="O67" s="30"/>
      <c r="P67" s="26">
        <v>24</v>
      </c>
      <c r="Q67" s="30"/>
      <c r="R67" s="317"/>
      <c r="S67" s="317"/>
      <c r="T67" s="26">
        <v>24</v>
      </c>
      <c r="U67" s="30"/>
      <c r="V67" s="30"/>
      <c r="W67" s="30"/>
      <c r="X67" s="26">
        <v>24</v>
      </c>
      <c r="Y67" s="317"/>
      <c r="Z67" s="317"/>
      <c r="AA67" s="30"/>
      <c r="AB67" s="26">
        <v>24</v>
      </c>
      <c r="AC67" s="30"/>
      <c r="AD67" s="30"/>
      <c r="AE67" s="306">
        <v>12</v>
      </c>
      <c r="AF67" s="26">
        <v>24</v>
      </c>
      <c r="AG67" s="317"/>
      <c r="AH67" s="30"/>
      <c r="AI67" s="306">
        <v>12</v>
      </c>
      <c r="AJ67" s="134">
        <f>SUM(F67:AI67)</f>
        <v>204</v>
      </c>
      <c r="AK67" s="133">
        <f t="shared" ref="AK67:AK70" si="18">SUM(AJ67/24)</f>
        <v>8.5</v>
      </c>
      <c r="AL67" s="248">
        <f>AJ67*297.619047618</f>
        <v>60714.285714072008</v>
      </c>
      <c r="AM67" s="15" t="s">
        <v>124</v>
      </c>
      <c r="AN67" s="1"/>
    </row>
    <row r="68" spans="1:40" ht="35.1" customHeight="1" x14ac:dyDescent="0.25">
      <c r="A68" s="69">
        <v>36</v>
      </c>
      <c r="B68" s="124" t="s">
        <v>21</v>
      </c>
      <c r="C68" s="334" t="s">
        <v>137</v>
      </c>
      <c r="D68" s="127" t="s">
        <v>22</v>
      </c>
      <c r="E68" s="126" t="s">
        <v>62</v>
      </c>
      <c r="F68" s="30"/>
      <c r="G68" s="30"/>
      <c r="H68" s="26">
        <v>24</v>
      </c>
      <c r="I68" s="30"/>
      <c r="J68" s="30"/>
      <c r="K68" s="317"/>
      <c r="L68" s="26">
        <v>24</v>
      </c>
      <c r="M68" s="30"/>
      <c r="N68" s="30"/>
      <c r="O68" s="30"/>
      <c r="P68" s="26">
        <v>24</v>
      </c>
      <c r="Q68" s="30"/>
      <c r="R68" s="317"/>
      <c r="S68" s="317"/>
      <c r="T68" s="26">
        <v>24</v>
      </c>
      <c r="U68" s="30"/>
      <c r="V68" s="30"/>
      <c r="W68" s="30"/>
      <c r="X68" s="26">
        <v>24</v>
      </c>
      <c r="Y68" s="317"/>
      <c r="Z68" s="317"/>
      <c r="AA68" s="30"/>
      <c r="AB68" s="305" t="s">
        <v>172</v>
      </c>
      <c r="AC68" s="30"/>
      <c r="AD68" s="30"/>
      <c r="AE68" s="30"/>
      <c r="AF68" s="26">
        <v>24</v>
      </c>
      <c r="AG68" s="317"/>
      <c r="AH68" s="30"/>
      <c r="AI68" s="30"/>
      <c r="AJ68" s="134">
        <f>SUM(F68:AI68)</f>
        <v>144</v>
      </c>
      <c r="AK68" s="133">
        <f t="shared" si="18"/>
        <v>6</v>
      </c>
      <c r="AL68" s="248">
        <f t="shared" ref="AL68:AL69" si="19">AJ68*297.619047618</f>
        <v>42857.142856992003</v>
      </c>
      <c r="AM68" s="22"/>
      <c r="AN68" s="5"/>
    </row>
    <row r="69" spans="1:40" ht="35.1" customHeight="1" x14ac:dyDescent="0.25">
      <c r="A69" s="69">
        <v>37</v>
      </c>
      <c r="B69" s="129" t="s">
        <v>127</v>
      </c>
      <c r="C69" s="331" t="s">
        <v>136</v>
      </c>
      <c r="D69" s="130" t="s">
        <v>128</v>
      </c>
      <c r="E69" s="126" t="s">
        <v>62</v>
      </c>
      <c r="F69" s="30"/>
      <c r="G69" s="30"/>
      <c r="H69" s="26">
        <v>24</v>
      </c>
      <c r="I69" s="30"/>
      <c r="J69" s="30"/>
      <c r="K69" s="317"/>
      <c r="L69" s="26">
        <v>24</v>
      </c>
      <c r="M69" s="30"/>
      <c r="N69" s="30"/>
      <c r="O69" s="30"/>
      <c r="P69" s="26">
        <v>24</v>
      </c>
      <c r="Q69" s="30"/>
      <c r="R69" s="317"/>
      <c r="S69" s="317"/>
      <c r="T69" s="26">
        <v>24</v>
      </c>
      <c r="U69" s="30"/>
      <c r="V69" s="30"/>
      <c r="W69" s="30"/>
      <c r="X69" s="26">
        <v>24</v>
      </c>
      <c r="Y69" s="317"/>
      <c r="Z69" s="317"/>
      <c r="AA69" s="30"/>
      <c r="AB69" s="26">
        <v>24</v>
      </c>
      <c r="AC69" s="30"/>
      <c r="AD69" s="30"/>
      <c r="AE69" s="30"/>
      <c r="AF69" s="26">
        <v>24</v>
      </c>
      <c r="AG69" s="317"/>
      <c r="AH69" s="30"/>
      <c r="AI69" s="30"/>
      <c r="AJ69" s="134">
        <f>SUM(F69:AI69)</f>
        <v>168</v>
      </c>
      <c r="AK69" s="133">
        <f t="shared" si="18"/>
        <v>7</v>
      </c>
      <c r="AL69" s="248">
        <f t="shared" si="19"/>
        <v>49999.999999824002</v>
      </c>
      <c r="AM69" s="16"/>
    </row>
    <row r="70" spans="1:40" ht="35.1" customHeight="1" thickBot="1" x14ac:dyDescent="0.3">
      <c r="A70" s="69">
        <v>38</v>
      </c>
      <c r="B70" s="129" t="s">
        <v>202</v>
      </c>
      <c r="C70" s="331" t="s">
        <v>135</v>
      </c>
      <c r="D70" s="130" t="s">
        <v>117</v>
      </c>
      <c r="E70" s="131" t="s">
        <v>62</v>
      </c>
      <c r="F70" s="31"/>
      <c r="G70" s="31"/>
      <c r="H70" s="100">
        <v>24</v>
      </c>
      <c r="I70" s="31"/>
      <c r="J70" s="31"/>
      <c r="K70" s="318"/>
      <c r="L70" s="100">
        <v>24</v>
      </c>
      <c r="M70" s="31"/>
      <c r="N70" s="31"/>
      <c r="O70" s="31"/>
      <c r="P70" s="100">
        <v>24</v>
      </c>
      <c r="Q70" s="31"/>
      <c r="R70" s="318"/>
      <c r="S70" s="318"/>
      <c r="T70" s="100">
        <v>24</v>
      </c>
      <c r="U70" s="31"/>
      <c r="V70" s="31"/>
      <c r="W70" s="31"/>
      <c r="X70" s="100">
        <v>24</v>
      </c>
      <c r="Y70" s="318"/>
      <c r="Z70" s="318"/>
      <c r="AA70" s="31"/>
      <c r="AB70" s="100">
        <v>24</v>
      </c>
      <c r="AC70" s="31"/>
      <c r="AD70" s="31"/>
      <c r="AE70" s="31"/>
      <c r="AF70" s="100">
        <v>24</v>
      </c>
      <c r="AG70" s="318"/>
      <c r="AH70" s="31"/>
      <c r="AI70" s="31"/>
      <c r="AJ70" s="137">
        <f>SUM(F70:AI70)</f>
        <v>168</v>
      </c>
      <c r="AK70" s="218">
        <f t="shared" si="18"/>
        <v>7</v>
      </c>
      <c r="AL70" s="248">
        <f>AJ70*297.619047618</f>
        <v>49999.999999824002</v>
      </c>
      <c r="AM70" s="15" t="s">
        <v>124</v>
      </c>
    </row>
    <row r="71" spans="1:40" ht="22.5" customHeight="1" thickBot="1" x14ac:dyDescent="0.3">
      <c r="A71" s="387" t="s">
        <v>24</v>
      </c>
      <c r="B71" s="388"/>
      <c r="C71" s="388"/>
      <c r="D71" s="388"/>
      <c r="E71" s="388"/>
      <c r="F71" s="85">
        <f>COUNT(F66:F70)</f>
        <v>0</v>
      </c>
      <c r="G71" s="66">
        <f t="shared" ref="G71:AI71" si="20">COUNT(G66:G70)</f>
        <v>0</v>
      </c>
      <c r="H71" s="66">
        <f t="shared" si="20"/>
        <v>5</v>
      </c>
      <c r="I71" s="66">
        <f t="shared" si="20"/>
        <v>0</v>
      </c>
      <c r="J71" s="66">
        <f t="shared" si="20"/>
        <v>0</v>
      </c>
      <c r="K71" s="66">
        <f t="shared" si="20"/>
        <v>2</v>
      </c>
      <c r="L71" s="66">
        <f t="shared" si="20"/>
        <v>5</v>
      </c>
      <c r="M71" s="66">
        <f t="shared" si="20"/>
        <v>0</v>
      </c>
      <c r="N71" s="66">
        <f t="shared" si="20"/>
        <v>0</v>
      </c>
      <c r="O71" s="66">
        <f t="shared" si="20"/>
        <v>1</v>
      </c>
      <c r="P71" s="66">
        <f t="shared" si="20"/>
        <v>5</v>
      </c>
      <c r="Q71" s="66">
        <f t="shared" si="20"/>
        <v>0</v>
      </c>
      <c r="R71" s="66">
        <f t="shared" si="20"/>
        <v>0</v>
      </c>
      <c r="S71" s="66">
        <f t="shared" si="20"/>
        <v>0</v>
      </c>
      <c r="T71" s="66">
        <f t="shared" si="20"/>
        <v>5</v>
      </c>
      <c r="U71" s="66">
        <f t="shared" si="20"/>
        <v>0</v>
      </c>
      <c r="V71" s="66">
        <f t="shared" si="20"/>
        <v>0</v>
      </c>
      <c r="W71" s="66">
        <f t="shared" si="20"/>
        <v>0</v>
      </c>
      <c r="X71" s="66">
        <f t="shared" si="20"/>
        <v>5</v>
      </c>
      <c r="Y71" s="66">
        <f t="shared" si="20"/>
        <v>0</v>
      </c>
      <c r="Z71" s="66">
        <f t="shared" si="20"/>
        <v>0</v>
      </c>
      <c r="AA71" s="66">
        <f t="shared" si="20"/>
        <v>0</v>
      </c>
      <c r="AB71" s="66">
        <f t="shared" si="20"/>
        <v>4</v>
      </c>
      <c r="AC71" s="66">
        <f t="shared" si="20"/>
        <v>0</v>
      </c>
      <c r="AD71" s="66">
        <f t="shared" si="20"/>
        <v>0</v>
      </c>
      <c r="AE71" s="66">
        <f t="shared" si="20"/>
        <v>1</v>
      </c>
      <c r="AF71" s="66">
        <f t="shared" si="20"/>
        <v>5</v>
      </c>
      <c r="AG71" s="66">
        <f t="shared" si="20"/>
        <v>0</v>
      </c>
      <c r="AH71" s="66">
        <f t="shared" si="20"/>
        <v>0</v>
      </c>
      <c r="AI71" s="87">
        <f t="shared" si="20"/>
        <v>1</v>
      </c>
      <c r="AJ71" s="107">
        <f>SUM(AJ66:AJ70)</f>
        <v>876</v>
      </c>
      <c r="AK71" s="67">
        <f>SUM(AK66:AK70)</f>
        <v>36.5</v>
      </c>
      <c r="AL71" s="312">
        <f>AL66+AL67+AL68+AL69+AL70</f>
        <v>277857.14285628003</v>
      </c>
      <c r="AM71" s="16"/>
    </row>
    <row r="72" spans="1:40" ht="35.1" customHeight="1" x14ac:dyDescent="0.25">
      <c r="A72" s="69">
        <v>39</v>
      </c>
      <c r="B72" s="271" t="s">
        <v>67</v>
      </c>
      <c r="C72" s="333" t="s">
        <v>60</v>
      </c>
      <c r="D72" s="272" t="s">
        <v>68</v>
      </c>
      <c r="E72" s="273" t="s">
        <v>62</v>
      </c>
      <c r="F72" s="256"/>
      <c r="G72" s="86"/>
      <c r="H72" s="86"/>
      <c r="I72" s="35">
        <v>24</v>
      </c>
      <c r="J72" s="86"/>
      <c r="K72" s="89"/>
      <c r="L72" s="89"/>
      <c r="M72" s="35">
        <v>24</v>
      </c>
      <c r="N72" s="86"/>
      <c r="O72" s="86"/>
      <c r="P72" s="86"/>
      <c r="Q72" s="35">
        <v>24</v>
      </c>
      <c r="R72" s="89"/>
      <c r="S72" s="89"/>
      <c r="T72" s="86"/>
      <c r="U72" s="35">
        <v>24</v>
      </c>
      <c r="V72" s="86"/>
      <c r="W72" s="86"/>
      <c r="X72" s="86"/>
      <c r="Y72" s="35">
        <v>24</v>
      </c>
      <c r="Z72" s="89"/>
      <c r="AA72" s="86"/>
      <c r="AB72" s="86"/>
      <c r="AC72" s="35">
        <v>24</v>
      </c>
      <c r="AD72" s="86"/>
      <c r="AE72" s="86"/>
      <c r="AF72" s="89"/>
      <c r="AG72" s="35">
        <v>24</v>
      </c>
      <c r="AH72" s="86"/>
      <c r="AI72" s="86"/>
      <c r="AJ72" s="134">
        <f>SUM(F72:AI72)</f>
        <v>168</v>
      </c>
      <c r="AK72" s="133">
        <f>SUM(AJ72/24)</f>
        <v>7</v>
      </c>
      <c r="AL72" s="247">
        <f>AJ72*386.904761904</f>
        <v>64999.999999872001</v>
      </c>
      <c r="AM72" s="15" t="s">
        <v>124</v>
      </c>
    </row>
    <row r="73" spans="1:40" ht="35.1" customHeight="1" x14ac:dyDescent="0.25">
      <c r="A73" s="69">
        <v>40</v>
      </c>
      <c r="B73" s="143" t="s">
        <v>69</v>
      </c>
      <c r="C73" s="335" t="s">
        <v>138</v>
      </c>
      <c r="D73" s="145" t="s">
        <v>70</v>
      </c>
      <c r="E73" s="146" t="s">
        <v>62</v>
      </c>
      <c r="F73" s="30"/>
      <c r="G73" s="30"/>
      <c r="H73" s="30"/>
      <c r="I73" s="26">
        <v>24</v>
      </c>
      <c r="J73" s="30"/>
      <c r="K73" s="317"/>
      <c r="L73" s="317"/>
      <c r="M73" s="26">
        <v>24</v>
      </c>
      <c r="N73" s="30"/>
      <c r="O73" s="30"/>
      <c r="P73" s="30"/>
      <c r="Q73" s="26">
        <v>24</v>
      </c>
      <c r="R73" s="317"/>
      <c r="S73" s="317"/>
      <c r="T73" s="30"/>
      <c r="U73" s="26">
        <v>24</v>
      </c>
      <c r="V73" s="30"/>
      <c r="W73" s="30"/>
      <c r="X73" s="30"/>
      <c r="Y73" s="26">
        <v>24</v>
      </c>
      <c r="Z73" s="317"/>
      <c r="AA73" s="306">
        <v>24</v>
      </c>
      <c r="AB73" s="30"/>
      <c r="AC73" s="26">
        <v>24</v>
      </c>
      <c r="AD73" s="30"/>
      <c r="AE73" s="306">
        <v>24</v>
      </c>
      <c r="AF73" s="317"/>
      <c r="AG73" s="26">
        <v>24</v>
      </c>
      <c r="AH73" s="30"/>
      <c r="AI73" s="306">
        <v>24</v>
      </c>
      <c r="AJ73" s="134">
        <f>SUM(F73:AI73)</f>
        <v>240</v>
      </c>
      <c r="AK73" s="133">
        <f t="shared" ref="AK73:AK76" si="21">SUM(AJ73/24)</f>
        <v>10</v>
      </c>
      <c r="AL73" s="248">
        <f>AJ73*297.619047618</f>
        <v>71428.571428320007</v>
      </c>
      <c r="AM73" s="16"/>
    </row>
    <row r="74" spans="1:40" ht="35.1" customHeight="1" x14ac:dyDescent="0.25">
      <c r="A74" s="69">
        <v>41</v>
      </c>
      <c r="B74" s="49" t="s">
        <v>150</v>
      </c>
      <c r="C74" s="330" t="s">
        <v>136</v>
      </c>
      <c r="D74" s="145" t="s">
        <v>145</v>
      </c>
      <c r="E74" s="146" t="s">
        <v>62</v>
      </c>
      <c r="F74" s="30"/>
      <c r="G74" s="30"/>
      <c r="H74" s="30"/>
      <c r="I74" s="26">
        <v>24</v>
      </c>
      <c r="J74" s="30"/>
      <c r="K74" s="317"/>
      <c r="L74" s="317"/>
      <c r="M74" s="26">
        <v>24</v>
      </c>
      <c r="N74" s="30"/>
      <c r="O74" s="30"/>
      <c r="P74" s="30"/>
      <c r="Q74" s="26">
        <v>24</v>
      </c>
      <c r="R74" s="317"/>
      <c r="S74" s="306">
        <v>12</v>
      </c>
      <c r="T74" s="30"/>
      <c r="U74" s="26">
        <v>24</v>
      </c>
      <c r="V74" s="30"/>
      <c r="W74" s="30"/>
      <c r="X74" s="30"/>
      <c r="Y74" s="26">
        <v>24</v>
      </c>
      <c r="Z74" s="317"/>
      <c r="AA74" s="30"/>
      <c r="AB74" s="30"/>
      <c r="AC74" s="26">
        <v>24</v>
      </c>
      <c r="AD74" s="30"/>
      <c r="AE74" s="30"/>
      <c r="AF74" s="317"/>
      <c r="AG74" s="26">
        <v>24</v>
      </c>
      <c r="AH74" s="30"/>
      <c r="AI74" s="30"/>
      <c r="AJ74" s="134">
        <f>SUM(F74:AI74)</f>
        <v>180</v>
      </c>
      <c r="AK74" s="133">
        <f t="shared" si="21"/>
        <v>7.5</v>
      </c>
      <c r="AL74" s="248">
        <f t="shared" ref="AL74:AL76" si="22">AJ74*297.619047618</f>
        <v>53571.428571240001</v>
      </c>
      <c r="AM74" s="15" t="s">
        <v>124</v>
      </c>
    </row>
    <row r="75" spans="1:40" ht="35.1" customHeight="1" x14ac:dyDescent="0.25">
      <c r="A75" s="69">
        <v>42</v>
      </c>
      <c r="B75" s="143" t="s">
        <v>200</v>
      </c>
      <c r="C75" s="330" t="s">
        <v>135</v>
      </c>
      <c r="D75" s="145" t="s">
        <v>201</v>
      </c>
      <c r="E75" s="146" t="s">
        <v>62</v>
      </c>
      <c r="F75" s="30"/>
      <c r="G75" s="30"/>
      <c r="H75" s="30"/>
      <c r="I75" s="26">
        <v>24</v>
      </c>
      <c r="J75" s="30"/>
      <c r="K75" s="317"/>
      <c r="L75" s="317"/>
      <c r="M75" s="26">
        <v>24</v>
      </c>
      <c r="N75" s="30"/>
      <c r="O75" s="30"/>
      <c r="P75" s="30"/>
      <c r="Q75" s="305" t="s">
        <v>172</v>
      </c>
      <c r="R75" s="317"/>
      <c r="S75" s="317"/>
      <c r="T75" s="30"/>
      <c r="U75" s="26">
        <v>24</v>
      </c>
      <c r="V75" s="30"/>
      <c r="W75" s="30"/>
      <c r="X75" s="30"/>
      <c r="Y75" s="26">
        <v>24</v>
      </c>
      <c r="Z75" s="317"/>
      <c r="AA75" s="30"/>
      <c r="AB75" s="30"/>
      <c r="AC75" s="26">
        <v>24</v>
      </c>
      <c r="AD75" s="30"/>
      <c r="AE75" s="30"/>
      <c r="AF75" s="317"/>
      <c r="AG75" s="26">
        <v>24</v>
      </c>
      <c r="AH75" s="30"/>
      <c r="AI75" s="30"/>
      <c r="AJ75" s="134">
        <f>SUM(F75:AI75)</f>
        <v>144</v>
      </c>
      <c r="AK75" s="133">
        <f t="shared" si="21"/>
        <v>6</v>
      </c>
      <c r="AL75" s="248">
        <f t="shared" si="22"/>
        <v>42857.142856992003</v>
      </c>
      <c r="AM75" s="15" t="s">
        <v>124</v>
      </c>
    </row>
    <row r="76" spans="1:40" ht="35.1" customHeight="1" thickBot="1" x14ac:dyDescent="0.3">
      <c r="A76" s="69">
        <v>43</v>
      </c>
      <c r="B76" s="108" t="s">
        <v>209</v>
      </c>
      <c r="C76" s="331" t="s">
        <v>137</v>
      </c>
      <c r="D76" s="150" t="s">
        <v>208</v>
      </c>
      <c r="E76" s="182" t="s">
        <v>62</v>
      </c>
      <c r="F76" s="31"/>
      <c r="G76" s="31"/>
      <c r="H76" s="31"/>
      <c r="I76" s="100">
        <v>24</v>
      </c>
      <c r="J76" s="31"/>
      <c r="K76" s="318"/>
      <c r="L76" s="318"/>
      <c r="M76" s="100">
        <v>24</v>
      </c>
      <c r="N76" s="31"/>
      <c r="O76" s="31"/>
      <c r="P76" s="31"/>
      <c r="Q76" s="100">
        <v>24</v>
      </c>
      <c r="R76" s="318"/>
      <c r="S76" s="318"/>
      <c r="T76" s="31"/>
      <c r="U76" s="100">
        <v>24</v>
      </c>
      <c r="V76" s="31"/>
      <c r="W76" s="31"/>
      <c r="X76" s="31"/>
      <c r="Y76" s="100">
        <v>24</v>
      </c>
      <c r="Z76" s="318"/>
      <c r="AA76" s="31"/>
      <c r="AB76" s="31"/>
      <c r="AC76" s="100">
        <v>24</v>
      </c>
      <c r="AD76" s="31"/>
      <c r="AE76" s="31"/>
      <c r="AF76" s="318"/>
      <c r="AG76" s="100">
        <v>24</v>
      </c>
      <c r="AH76" s="31"/>
      <c r="AI76" s="31"/>
      <c r="AJ76" s="137">
        <f>SUM(F76:AI76)</f>
        <v>168</v>
      </c>
      <c r="AK76" s="218">
        <f t="shared" si="21"/>
        <v>7</v>
      </c>
      <c r="AL76" s="248">
        <f t="shared" si="22"/>
        <v>49999.999999824002</v>
      </c>
      <c r="AM76" s="20"/>
    </row>
    <row r="77" spans="1:40" ht="24" customHeight="1" thickBot="1" x14ac:dyDescent="0.3">
      <c r="A77" s="387" t="s">
        <v>24</v>
      </c>
      <c r="B77" s="388"/>
      <c r="C77" s="388"/>
      <c r="D77" s="388"/>
      <c r="E77" s="388"/>
      <c r="F77" s="85">
        <f>COUNT(F72:F76)</f>
        <v>0</v>
      </c>
      <c r="G77" s="66">
        <f t="shared" ref="G77:AI77" si="23">COUNT(G72:G76)</f>
        <v>0</v>
      </c>
      <c r="H77" s="66">
        <f t="shared" si="23"/>
        <v>0</v>
      </c>
      <c r="I77" s="66">
        <f t="shared" si="23"/>
        <v>5</v>
      </c>
      <c r="J77" s="66">
        <f t="shared" si="23"/>
        <v>0</v>
      </c>
      <c r="K77" s="66">
        <f t="shared" si="23"/>
        <v>0</v>
      </c>
      <c r="L77" s="66">
        <f t="shared" si="23"/>
        <v>0</v>
      </c>
      <c r="M77" s="66">
        <f t="shared" si="23"/>
        <v>5</v>
      </c>
      <c r="N77" s="66">
        <f t="shared" si="23"/>
        <v>0</v>
      </c>
      <c r="O77" s="66">
        <f t="shared" si="23"/>
        <v>0</v>
      </c>
      <c r="P77" s="66">
        <f t="shared" si="23"/>
        <v>0</v>
      </c>
      <c r="Q77" s="66">
        <f t="shared" si="23"/>
        <v>4</v>
      </c>
      <c r="R77" s="66">
        <f t="shared" si="23"/>
        <v>0</v>
      </c>
      <c r="S77" s="66">
        <f t="shared" si="23"/>
        <v>1</v>
      </c>
      <c r="T77" s="66">
        <f t="shared" si="23"/>
        <v>0</v>
      </c>
      <c r="U77" s="66">
        <f t="shared" si="23"/>
        <v>5</v>
      </c>
      <c r="V77" s="66">
        <f t="shared" si="23"/>
        <v>0</v>
      </c>
      <c r="W77" s="66">
        <f t="shared" si="23"/>
        <v>0</v>
      </c>
      <c r="X77" s="66">
        <f t="shared" si="23"/>
        <v>0</v>
      </c>
      <c r="Y77" s="66">
        <f t="shared" si="23"/>
        <v>5</v>
      </c>
      <c r="Z77" s="66">
        <f t="shared" si="23"/>
        <v>0</v>
      </c>
      <c r="AA77" s="66">
        <f t="shared" si="23"/>
        <v>1</v>
      </c>
      <c r="AB77" s="66">
        <f t="shared" si="23"/>
        <v>0</v>
      </c>
      <c r="AC77" s="66">
        <f t="shared" si="23"/>
        <v>5</v>
      </c>
      <c r="AD77" s="66">
        <f t="shared" si="23"/>
        <v>0</v>
      </c>
      <c r="AE77" s="66">
        <f t="shared" si="23"/>
        <v>1</v>
      </c>
      <c r="AF77" s="66">
        <f t="shared" si="23"/>
        <v>0</v>
      </c>
      <c r="AG77" s="66">
        <f t="shared" si="23"/>
        <v>5</v>
      </c>
      <c r="AH77" s="66">
        <f t="shared" si="23"/>
        <v>0</v>
      </c>
      <c r="AI77" s="67">
        <f t="shared" si="23"/>
        <v>1</v>
      </c>
      <c r="AJ77" s="85">
        <f>SUM(AJ72:AJ76)</f>
        <v>900</v>
      </c>
      <c r="AK77" s="67">
        <f>SUM(AK72:AK76)</f>
        <v>37.5</v>
      </c>
      <c r="AL77" s="312">
        <f>AL72+AL73+AL74+AL75+AL76</f>
        <v>282857.14285624801</v>
      </c>
      <c r="AM77" s="16"/>
    </row>
    <row r="78" spans="1:40" ht="35.1" customHeight="1" x14ac:dyDescent="0.25">
      <c r="A78" s="69">
        <v>44</v>
      </c>
      <c r="B78" s="187" t="s">
        <v>45</v>
      </c>
      <c r="C78" s="333" t="s">
        <v>60</v>
      </c>
      <c r="D78" s="188" t="s">
        <v>115</v>
      </c>
      <c r="E78" s="189" t="s">
        <v>62</v>
      </c>
      <c r="F78" s="88">
        <v>24</v>
      </c>
      <c r="G78" s="86"/>
      <c r="H78" s="86"/>
      <c r="I78" s="86"/>
      <c r="J78" s="35">
        <v>24</v>
      </c>
      <c r="K78" s="89"/>
      <c r="L78" s="206">
        <v>24</v>
      </c>
      <c r="M78" s="86"/>
      <c r="N78" s="35">
        <v>24</v>
      </c>
      <c r="O78" s="86"/>
      <c r="P78" s="86"/>
      <c r="Q78" s="86"/>
      <c r="R78" s="290" t="s">
        <v>177</v>
      </c>
      <c r="S78" s="89"/>
      <c r="T78" s="86"/>
      <c r="U78" s="86"/>
      <c r="V78" s="35">
        <v>24</v>
      </c>
      <c r="W78" s="86"/>
      <c r="X78" s="86"/>
      <c r="Y78" s="89"/>
      <c r="Z78" s="35">
        <v>24</v>
      </c>
      <c r="AA78" s="86"/>
      <c r="AB78" s="86"/>
      <c r="AC78" s="86"/>
      <c r="AD78" s="35">
        <v>24</v>
      </c>
      <c r="AE78" s="86"/>
      <c r="AF78" s="89"/>
      <c r="AG78" s="89"/>
      <c r="AH78" s="35">
        <v>24</v>
      </c>
      <c r="AI78" s="86"/>
      <c r="AJ78" s="134">
        <f>SUM(F78:AI78)</f>
        <v>192</v>
      </c>
      <c r="AK78" s="133">
        <f>SUM(AJ78/24)</f>
        <v>8</v>
      </c>
      <c r="AL78" s="247">
        <f>AJ78*338.541666666</f>
        <v>64999.999999872001</v>
      </c>
      <c r="AM78" s="16"/>
    </row>
    <row r="79" spans="1:40" ht="35.1" customHeight="1" x14ac:dyDescent="0.25">
      <c r="A79" s="69">
        <v>45</v>
      </c>
      <c r="B79" s="154" t="s">
        <v>71</v>
      </c>
      <c r="C79" s="336" t="s">
        <v>137</v>
      </c>
      <c r="D79" s="156" t="s">
        <v>72</v>
      </c>
      <c r="E79" s="157" t="s">
        <v>62</v>
      </c>
      <c r="F79" s="26">
        <v>24</v>
      </c>
      <c r="G79" s="30"/>
      <c r="H79" s="30"/>
      <c r="I79" s="30"/>
      <c r="J79" s="26">
        <v>24</v>
      </c>
      <c r="K79" s="317"/>
      <c r="L79" s="317"/>
      <c r="M79" s="30"/>
      <c r="N79" s="26">
        <v>24</v>
      </c>
      <c r="O79" s="30"/>
      <c r="P79" s="30"/>
      <c r="Q79" s="30"/>
      <c r="R79" s="26">
        <v>24</v>
      </c>
      <c r="S79" s="317"/>
      <c r="T79" s="30"/>
      <c r="U79" s="30"/>
      <c r="V79" s="26">
        <v>24</v>
      </c>
      <c r="W79" s="30"/>
      <c r="X79" s="30"/>
      <c r="Y79" s="317"/>
      <c r="Z79" s="26">
        <v>24</v>
      </c>
      <c r="AA79" s="30"/>
      <c r="AB79" s="30"/>
      <c r="AC79" s="30"/>
      <c r="AD79" s="26">
        <v>24</v>
      </c>
      <c r="AE79" s="30"/>
      <c r="AF79" s="317"/>
      <c r="AG79" s="317"/>
      <c r="AH79" s="26">
        <v>24</v>
      </c>
      <c r="AI79" s="30"/>
      <c r="AJ79" s="134">
        <f>SUM(F79:AI79)</f>
        <v>192</v>
      </c>
      <c r="AK79" s="133">
        <f>SUM(AJ79/24)</f>
        <v>8</v>
      </c>
      <c r="AL79" s="248">
        <f>AJ79*260.416666666</f>
        <v>49999.999999872001</v>
      </c>
      <c r="AM79" s="21"/>
    </row>
    <row r="80" spans="1:40" ht="35.1" customHeight="1" x14ac:dyDescent="0.25">
      <c r="A80" s="69">
        <v>46</v>
      </c>
      <c r="B80" s="154" t="s">
        <v>73</v>
      </c>
      <c r="C80" s="336" t="s">
        <v>137</v>
      </c>
      <c r="D80" s="156" t="s">
        <v>74</v>
      </c>
      <c r="E80" s="157" t="s">
        <v>62</v>
      </c>
      <c r="F80" s="26">
        <v>24</v>
      </c>
      <c r="G80" s="30"/>
      <c r="H80" s="30"/>
      <c r="I80" s="30"/>
      <c r="J80" s="26">
        <v>24</v>
      </c>
      <c r="K80" s="317"/>
      <c r="L80" s="317"/>
      <c r="M80" s="30"/>
      <c r="N80" s="26">
        <v>24</v>
      </c>
      <c r="O80" s="30"/>
      <c r="P80" s="30"/>
      <c r="Q80" s="30"/>
      <c r="R80" s="26">
        <v>24</v>
      </c>
      <c r="S80" s="317"/>
      <c r="T80" s="30"/>
      <c r="U80" s="30"/>
      <c r="V80" s="26">
        <v>24</v>
      </c>
      <c r="W80" s="30"/>
      <c r="X80" s="30"/>
      <c r="Y80" s="317"/>
      <c r="Z80" s="26">
        <v>24</v>
      </c>
      <c r="AA80" s="30"/>
      <c r="AB80" s="306">
        <v>24</v>
      </c>
      <c r="AC80" s="30"/>
      <c r="AD80" s="26">
        <v>24</v>
      </c>
      <c r="AE80" s="30"/>
      <c r="AF80" s="317"/>
      <c r="AG80" s="317"/>
      <c r="AH80" s="26">
        <v>24</v>
      </c>
      <c r="AI80" s="30"/>
      <c r="AJ80" s="134">
        <f>SUM(F80:AI80)</f>
        <v>216</v>
      </c>
      <c r="AK80" s="133">
        <f t="shared" ref="AK80:AK82" si="24">SUM(AJ80/24)</f>
        <v>9</v>
      </c>
      <c r="AL80" s="248">
        <f t="shared" ref="AL80:AL82" si="25">AJ80*260.416666666</f>
        <v>56249.999999856009</v>
      </c>
      <c r="AM80" s="16" t="s">
        <v>147</v>
      </c>
    </row>
    <row r="81" spans="1:40" ht="35.1" customHeight="1" x14ac:dyDescent="0.25">
      <c r="A81" s="69">
        <v>47</v>
      </c>
      <c r="B81" s="154" t="s">
        <v>99</v>
      </c>
      <c r="C81" s="337" t="s">
        <v>135</v>
      </c>
      <c r="D81" s="156" t="s">
        <v>100</v>
      </c>
      <c r="E81" s="157" t="s">
        <v>62</v>
      </c>
      <c r="F81" s="26">
        <v>24</v>
      </c>
      <c r="G81" s="30"/>
      <c r="H81" s="30"/>
      <c r="I81" s="30"/>
      <c r="J81" s="26">
        <v>24</v>
      </c>
      <c r="K81" s="317"/>
      <c r="L81" s="317"/>
      <c r="M81" s="30"/>
      <c r="N81" s="26">
        <v>24</v>
      </c>
      <c r="O81" s="30"/>
      <c r="P81" s="30"/>
      <c r="Q81" s="306">
        <v>24</v>
      </c>
      <c r="R81" s="26">
        <v>24</v>
      </c>
      <c r="S81" s="317"/>
      <c r="T81" s="30"/>
      <c r="U81" s="30"/>
      <c r="V81" s="26">
        <v>24</v>
      </c>
      <c r="W81" s="30"/>
      <c r="X81" s="30"/>
      <c r="Y81" s="317"/>
      <c r="Z81" s="26">
        <v>24</v>
      </c>
      <c r="AA81" s="30"/>
      <c r="AB81" s="30"/>
      <c r="AC81" s="30"/>
      <c r="AD81" s="26">
        <v>24</v>
      </c>
      <c r="AE81" s="30"/>
      <c r="AF81" s="317"/>
      <c r="AG81" s="317"/>
      <c r="AH81" s="26">
        <v>24</v>
      </c>
      <c r="AI81" s="30"/>
      <c r="AJ81" s="134">
        <f>SUM(F81:AI81)</f>
        <v>216</v>
      </c>
      <c r="AK81" s="133">
        <f t="shared" si="24"/>
        <v>9</v>
      </c>
      <c r="AL81" s="248">
        <f t="shared" si="25"/>
        <v>56249.999999856009</v>
      </c>
      <c r="AM81" s="15" t="s">
        <v>124</v>
      </c>
      <c r="AN81" s="5"/>
    </row>
    <row r="82" spans="1:40" ht="35.1" customHeight="1" thickBot="1" x14ac:dyDescent="0.3">
      <c r="A82" s="69">
        <v>48</v>
      </c>
      <c r="B82" s="183" t="s">
        <v>48</v>
      </c>
      <c r="C82" s="338" t="s">
        <v>136</v>
      </c>
      <c r="D82" s="162" t="s">
        <v>49</v>
      </c>
      <c r="E82" s="185" t="s">
        <v>62</v>
      </c>
      <c r="F82" s="100">
        <v>24</v>
      </c>
      <c r="G82" s="31"/>
      <c r="H82" s="31"/>
      <c r="I82" s="31"/>
      <c r="J82" s="100">
        <v>24</v>
      </c>
      <c r="K82" s="318"/>
      <c r="L82" s="318"/>
      <c r="M82" s="31"/>
      <c r="N82" s="100">
        <v>24</v>
      </c>
      <c r="O82" s="31"/>
      <c r="P82" s="31"/>
      <c r="Q82" s="31"/>
      <c r="R82" s="100">
        <v>24</v>
      </c>
      <c r="S82" s="318"/>
      <c r="T82" s="31"/>
      <c r="U82" s="31"/>
      <c r="V82" s="100">
        <v>24</v>
      </c>
      <c r="W82" s="31"/>
      <c r="X82" s="31"/>
      <c r="Y82" s="318"/>
      <c r="Z82" s="100">
        <v>24</v>
      </c>
      <c r="AA82" s="31"/>
      <c r="AB82" s="31"/>
      <c r="AC82" s="31"/>
      <c r="AD82" s="100">
        <v>24</v>
      </c>
      <c r="AE82" s="31"/>
      <c r="AF82" s="318"/>
      <c r="AG82" s="318"/>
      <c r="AH82" s="100">
        <v>24</v>
      </c>
      <c r="AI82" s="31"/>
      <c r="AJ82" s="137">
        <f>SUM(F82:AI82)</f>
        <v>192</v>
      </c>
      <c r="AK82" s="218">
        <f t="shared" si="24"/>
        <v>8</v>
      </c>
      <c r="AL82" s="248">
        <f t="shared" si="25"/>
        <v>49999.999999872001</v>
      </c>
      <c r="AM82" s="15"/>
    </row>
    <row r="83" spans="1:40" ht="22.5" customHeight="1" thickBot="1" x14ac:dyDescent="0.3">
      <c r="A83" s="387" t="s">
        <v>24</v>
      </c>
      <c r="B83" s="388"/>
      <c r="C83" s="388"/>
      <c r="D83" s="388"/>
      <c r="E83" s="388"/>
      <c r="F83" s="85">
        <f>COUNT(F78:F82)</f>
        <v>5</v>
      </c>
      <c r="G83" s="66">
        <f t="shared" ref="G83:AI83" si="26">COUNT(G78:G82)</f>
        <v>0</v>
      </c>
      <c r="H83" s="66">
        <f t="shared" si="26"/>
        <v>0</v>
      </c>
      <c r="I83" s="66">
        <f t="shared" si="26"/>
        <v>0</v>
      </c>
      <c r="J83" s="66">
        <f t="shared" si="26"/>
        <v>5</v>
      </c>
      <c r="K83" s="66">
        <f t="shared" si="26"/>
        <v>0</v>
      </c>
      <c r="L83" s="66">
        <f t="shared" si="26"/>
        <v>1</v>
      </c>
      <c r="M83" s="66">
        <f t="shared" si="26"/>
        <v>0</v>
      </c>
      <c r="N83" s="66">
        <f t="shared" si="26"/>
        <v>5</v>
      </c>
      <c r="O83" s="66">
        <f t="shared" si="26"/>
        <v>0</v>
      </c>
      <c r="P83" s="66">
        <f t="shared" si="26"/>
        <v>0</v>
      </c>
      <c r="Q83" s="66">
        <f t="shared" si="26"/>
        <v>1</v>
      </c>
      <c r="R83" s="66">
        <f t="shared" si="26"/>
        <v>4</v>
      </c>
      <c r="S83" s="66">
        <f t="shared" si="26"/>
        <v>0</v>
      </c>
      <c r="T83" s="66">
        <f t="shared" si="26"/>
        <v>0</v>
      </c>
      <c r="U83" s="66">
        <f t="shared" si="26"/>
        <v>0</v>
      </c>
      <c r="V83" s="66">
        <f t="shared" si="26"/>
        <v>5</v>
      </c>
      <c r="W83" s="66">
        <f t="shared" si="26"/>
        <v>0</v>
      </c>
      <c r="X83" s="66">
        <f t="shared" si="26"/>
        <v>0</v>
      </c>
      <c r="Y83" s="66">
        <f t="shared" si="26"/>
        <v>0</v>
      </c>
      <c r="Z83" s="66">
        <f>COUNT(Z78:Z82)</f>
        <v>5</v>
      </c>
      <c r="AA83" s="66">
        <f t="shared" si="26"/>
        <v>0</v>
      </c>
      <c r="AB83" s="66">
        <f t="shared" si="26"/>
        <v>1</v>
      </c>
      <c r="AC83" s="66">
        <f t="shared" si="26"/>
        <v>0</v>
      </c>
      <c r="AD83" s="66">
        <f t="shared" si="26"/>
        <v>5</v>
      </c>
      <c r="AE83" s="66">
        <f t="shared" si="26"/>
        <v>0</v>
      </c>
      <c r="AF83" s="66">
        <f t="shared" si="26"/>
        <v>0</v>
      </c>
      <c r="AG83" s="66">
        <f t="shared" si="26"/>
        <v>0</v>
      </c>
      <c r="AH83" s="66">
        <f t="shared" si="26"/>
        <v>5</v>
      </c>
      <c r="AI83" s="67">
        <f t="shared" si="26"/>
        <v>0</v>
      </c>
      <c r="AJ83" s="85">
        <f>SUM(AJ78:AJ82)</f>
        <v>1008</v>
      </c>
      <c r="AK83" s="67">
        <f>SUM(AK78:AK82)</f>
        <v>42</v>
      </c>
      <c r="AL83" s="312">
        <f>AL78+AL79+AL80+AL81+AL82</f>
        <v>277499.99999932799</v>
      </c>
      <c r="AM83" s="16"/>
    </row>
    <row r="84" spans="1:40" ht="35.1" customHeight="1" x14ac:dyDescent="0.25">
      <c r="A84" s="69">
        <v>49</v>
      </c>
      <c r="B84" s="163" t="s">
        <v>75</v>
      </c>
      <c r="C84" s="333" t="s">
        <v>60</v>
      </c>
      <c r="D84" s="164" t="s">
        <v>76</v>
      </c>
      <c r="E84" s="165" t="s">
        <v>62</v>
      </c>
      <c r="F84" s="86"/>
      <c r="G84" s="35">
        <v>24</v>
      </c>
      <c r="H84" s="86"/>
      <c r="I84" s="86"/>
      <c r="J84" s="86"/>
      <c r="K84" s="35">
        <v>24</v>
      </c>
      <c r="L84" s="89"/>
      <c r="M84" s="86"/>
      <c r="N84" s="86"/>
      <c r="O84" s="301" t="s">
        <v>170</v>
      </c>
      <c r="P84" s="301" t="s">
        <v>170</v>
      </c>
      <c r="Q84" s="301" t="s">
        <v>170</v>
      </c>
      <c r="R84" s="301" t="s">
        <v>170</v>
      </c>
      <c r="S84" s="301" t="s">
        <v>170</v>
      </c>
      <c r="T84" s="301" t="s">
        <v>170</v>
      </c>
      <c r="U84" s="301" t="s">
        <v>170</v>
      </c>
      <c r="V84" s="301" t="s">
        <v>170</v>
      </c>
      <c r="W84" s="301" t="s">
        <v>170</v>
      </c>
      <c r="X84" s="301" t="s">
        <v>170</v>
      </c>
      <c r="Y84" s="301" t="s">
        <v>170</v>
      </c>
      <c r="Z84" s="301" t="s">
        <v>170</v>
      </c>
      <c r="AA84" s="301" t="s">
        <v>170</v>
      </c>
      <c r="AB84" s="301" t="s">
        <v>170</v>
      </c>
      <c r="AC84" s="86"/>
      <c r="AD84" s="86"/>
      <c r="AE84" s="35">
        <v>24</v>
      </c>
      <c r="AF84" s="89"/>
      <c r="AG84" s="89"/>
      <c r="AH84" s="86"/>
      <c r="AI84" s="35">
        <v>24</v>
      </c>
      <c r="AJ84" s="134">
        <f>SUM(F84:AI84)</f>
        <v>96</v>
      </c>
      <c r="AK84" s="133">
        <f>SUM(AJ84/24)</f>
        <v>4</v>
      </c>
      <c r="AL84" s="247">
        <f>AJ84*338.541666666</f>
        <v>32499.999999936001</v>
      </c>
      <c r="AM84" s="15" t="s">
        <v>124</v>
      </c>
    </row>
    <row r="85" spans="1:40" ht="35.1" customHeight="1" x14ac:dyDescent="0.25">
      <c r="A85" s="69">
        <v>50</v>
      </c>
      <c r="B85" s="166" t="s">
        <v>55</v>
      </c>
      <c r="C85" s="339" t="s">
        <v>137</v>
      </c>
      <c r="D85" s="168" t="s">
        <v>56</v>
      </c>
      <c r="E85" s="169" t="s">
        <v>62</v>
      </c>
      <c r="F85" s="30"/>
      <c r="G85" s="26">
        <v>24</v>
      </c>
      <c r="H85" s="30"/>
      <c r="I85" s="30"/>
      <c r="J85" s="30"/>
      <c r="K85" s="26">
        <v>24</v>
      </c>
      <c r="L85" s="317"/>
      <c r="M85" s="30"/>
      <c r="N85" s="30"/>
      <c r="O85" s="26">
        <v>24</v>
      </c>
      <c r="P85" s="30"/>
      <c r="Q85" s="30"/>
      <c r="R85" s="317"/>
      <c r="S85" s="26">
        <v>24</v>
      </c>
      <c r="T85" s="30"/>
      <c r="U85" s="30"/>
      <c r="V85" s="30"/>
      <c r="W85" s="26">
        <v>24</v>
      </c>
      <c r="X85" s="30"/>
      <c r="Y85" s="317"/>
      <c r="Z85" s="317"/>
      <c r="AA85" s="302" t="s">
        <v>170</v>
      </c>
      <c r="AB85" s="302" t="s">
        <v>170</v>
      </c>
      <c r="AC85" s="302" t="s">
        <v>170</v>
      </c>
      <c r="AD85" s="302" t="s">
        <v>170</v>
      </c>
      <c r="AE85" s="302" t="s">
        <v>170</v>
      </c>
      <c r="AF85" s="302" t="s">
        <v>170</v>
      </c>
      <c r="AG85" s="302" t="s">
        <v>170</v>
      </c>
      <c r="AH85" s="302" t="s">
        <v>170</v>
      </c>
      <c r="AI85" s="302" t="s">
        <v>170</v>
      </c>
      <c r="AJ85" s="134">
        <f>SUM(F85:AI85)</f>
        <v>120</v>
      </c>
      <c r="AK85" s="133">
        <f t="shared" ref="AK85:AK88" si="27">SUM(AJ85/24)</f>
        <v>5</v>
      </c>
      <c r="AL85" s="248">
        <f>AJ85*260.416666666</f>
        <v>31249.999999920004</v>
      </c>
      <c r="AM85" s="16"/>
    </row>
    <row r="86" spans="1:40" ht="35.1" customHeight="1" x14ac:dyDescent="0.25">
      <c r="A86" s="69">
        <v>51</v>
      </c>
      <c r="B86" s="166" t="s">
        <v>119</v>
      </c>
      <c r="C86" s="339" t="s">
        <v>137</v>
      </c>
      <c r="D86" s="168" t="s">
        <v>118</v>
      </c>
      <c r="E86" s="169" t="s">
        <v>62</v>
      </c>
      <c r="F86" s="30"/>
      <c r="G86" s="26">
        <v>24</v>
      </c>
      <c r="H86" s="30"/>
      <c r="I86" s="30"/>
      <c r="J86" s="30"/>
      <c r="K86" s="26">
        <v>24</v>
      </c>
      <c r="L86" s="317"/>
      <c r="M86" s="30"/>
      <c r="N86" s="30"/>
      <c r="O86" s="26">
        <v>24</v>
      </c>
      <c r="P86" s="30"/>
      <c r="Q86" s="30"/>
      <c r="R86" s="317"/>
      <c r="S86" s="26">
        <v>24</v>
      </c>
      <c r="T86" s="30"/>
      <c r="U86" s="30"/>
      <c r="V86" s="30"/>
      <c r="W86" s="26">
        <v>24</v>
      </c>
      <c r="X86" s="30"/>
      <c r="Y86" s="317"/>
      <c r="Z86" s="317"/>
      <c r="AA86" s="26">
        <v>24</v>
      </c>
      <c r="AB86" s="30"/>
      <c r="AC86" s="30"/>
      <c r="AD86" s="30"/>
      <c r="AE86" s="26">
        <v>24</v>
      </c>
      <c r="AF86" s="317"/>
      <c r="AG86" s="317"/>
      <c r="AH86" s="30"/>
      <c r="AI86" s="26">
        <v>24</v>
      </c>
      <c r="AJ86" s="134">
        <f>SUM(F86:AI86)</f>
        <v>192</v>
      </c>
      <c r="AK86" s="133">
        <f t="shared" si="27"/>
        <v>8</v>
      </c>
      <c r="AL86" s="248">
        <f t="shared" ref="AL86:AL88" si="28">AJ86*260.416666666</f>
        <v>49999.999999872001</v>
      </c>
      <c r="AM86" s="16"/>
      <c r="AN86" s="1"/>
    </row>
    <row r="87" spans="1:40" ht="35.1" customHeight="1" x14ac:dyDescent="0.25">
      <c r="A87" s="69">
        <v>52</v>
      </c>
      <c r="B87" s="166" t="s">
        <v>77</v>
      </c>
      <c r="C87" s="340" t="s">
        <v>136</v>
      </c>
      <c r="D87" s="168" t="s">
        <v>78</v>
      </c>
      <c r="E87" s="169" t="s">
        <v>62</v>
      </c>
      <c r="F87" s="30"/>
      <c r="G87" s="26">
        <v>24</v>
      </c>
      <c r="H87" s="30"/>
      <c r="I87" s="30"/>
      <c r="J87" s="30"/>
      <c r="K87" s="26">
        <v>24</v>
      </c>
      <c r="L87" s="317"/>
      <c r="M87" s="30"/>
      <c r="N87" s="30"/>
      <c r="O87" s="26">
        <v>24</v>
      </c>
      <c r="P87" s="30"/>
      <c r="Q87" s="30"/>
      <c r="R87" s="317"/>
      <c r="S87" s="26">
        <v>24</v>
      </c>
      <c r="T87" s="30"/>
      <c r="U87" s="30"/>
      <c r="V87" s="30"/>
      <c r="W87" s="26">
        <v>24</v>
      </c>
      <c r="X87" s="30"/>
      <c r="Y87" s="317"/>
      <c r="Z87" s="317"/>
      <c r="AA87" s="26">
        <v>24</v>
      </c>
      <c r="AB87" s="30"/>
      <c r="AC87" s="30"/>
      <c r="AD87" s="30"/>
      <c r="AE87" s="26">
        <v>24</v>
      </c>
      <c r="AF87" s="317"/>
      <c r="AG87" s="317"/>
      <c r="AH87" s="30"/>
      <c r="AI87" s="26">
        <v>24</v>
      </c>
      <c r="AJ87" s="134">
        <f>SUM(F87:AI87)</f>
        <v>192</v>
      </c>
      <c r="AK87" s="133">
        <f t="shared" si="27"/>
        <v>8</v>
      </c>
      <c r="AL87" s="248">
        <f t="shared" si="28"/>
        <v>49999.999999872001</v>
      </c>
      <c r="AM87" s="16"/>
    </row>
    <row r="88" spans="1:40" ht="35.1" customHeight="1" thickBot="1" x14ac:dyDescent="0.3">
      <c r="A88" s="69">
        <v>53</v>
      </c>
      <c r="B88" s="274" t="s">
        <v>122</v>
      </c>
      <c r="C88" s="341" t="s">
        <v>135</v>
      </c>
      <c r="D88" s="276" t="s">
        <v>123</v>
      </c>
      <c r="E88" s="277" t="s">
        <v>62</v>
      </c>
      <c r="F88" s="31"/>
      <c r="G88" s="100">
        <v>24</v>
      </c>
      <c r="H88" s="31"/>
      <c r="I88" s="31"/>
      <c r="J88" s="31"/>
      <c r="K88" s="100">
        <v>24</v>
      </c>
      <c r="L88" s="318"/>
      <c r="M88" s="31"/>
      <c r="N88" s="31"/>
      <c r="O88" s="100">
        <v>24</v>
      </c>
      <c r="P88" s="31"/>
      <c r="Q88" s="31"/>
      <c r="R88" s="318"/>
      <c r="S88" s="100">
        <v>24</v>
      </c>
      <c r="T88" s="31"/>
      <c r="U88" s="31"/>
      <c r="V88" s="31"/>
      <c r="W88" s="100">
        <v>24</v>
      </c>
      <c r="X88" s="31"/>
      <c r="Y88" s="318"/>
      <c r="Z88" s="318"/>
      <c r="AA88" s="100">
        <v>24</v>
      </c>
      <c r="AB88" s="31"/>
      <c r="AC88" s="31"/>
      <c r="AD88" s="31"/>
      <c r="AE88" s="100">
        <v>24</v>
      </c>
      <c r="AF88" s="318"/>
      <c r="AG88" s="318"/>
      <c r="AH88" s="31"/>
      <c r="AI88" s="100">
        <v>24</v>
      </c>
      <c r="AJ88" s="137">
        <f>SUM(F88:AI88)</f>
        <v>192</v>
      </c>
      <c r="AK88" s="218">
        <f t="shared" si="27"/>
        <v>8</v>
      </c>
      <c r="AL88" s="270">
        <f t="shared" si="28"/>
        <v>49999.999999872001</v>
      </c>
      <c r="AM88" s="15" t="s">
        <v>124</v>
      </c>
    </row>
    <row r="89" spans="1:40" ht="22.5" customHeight="1" thickBot="1" x14ac:dyDescent="0.3">
      <c r="A89" s="387" t="s">
        <v>24</v>
      </c>
      <c r="B89" s="388"/>
      <c r="C89" s="388"/>
      <c r="D89" s="388"/>
      <c r="E89" s="388"/>
      <c r="F89" s="85">
        <f>COUNT(F84:F88)</f>
        <v>0</v>
      </c>
      <c r="G89" s="66">
        <f t="shared" ref="G89:AI89" si="29">COUNT(G84:G88)</f>
        <v>5</v>
      </c>
      <c r="H89" s="66">
        <f t="shared" si="29"/>
        <v>0</v>
      </c>
      <c r="I89" s="66">
        <f t="shared" si="29"/>
        <v>0</v>
      </c>
      <c r="J89" s="66">
        <f t="shared" si="29"/>
        <v>0</v>
      </c>
      <c r="K89" s="66">
        <f t="shared" si="29"/>
        <v>5</v>
      </c>
      <c r="L89" s="66">
        <f t="shared" si="29"/>
        <v>0</v>
      </c>
      <c r="M89" s="66">
        <f t="shared" si="29"/>
        <v>0</v>
      </c>
      <c r="N89" s="66">
        <f t="shared" si="29"/>
        <v>0</v>
      </c>
      <c r="O89" s="66">
        <f t="shared" si="29"/>
        <v>4</v>
      </c>
      <c r="P89" s="66">
        <f t="shared" si="29"/>
        <v>0</v>
      </c>
      <c r="Q89" s="66">
        <f t="shared" si="29"/>
        <v>0</v>
      </c>
      <c r="R89" s="66">
        <f t="shared" si="29"/>
        <v>0</v>
      </c>
      <c r="S89" s="66">
        <f t="shared" si="29"/>
        <v>4</v>
      </c>
      <c r="T89" s="66">
        <f t="shared" si="29"/>
        <v>0</v>
      </c>
      <c r="U89" s="66">
        <f t="shared" si="29"/>
        <v>0</v>
      </c>
      <c r="V89" s="66">
        <f t="shared" si="29"/>
        <v>0</v>
      </c>
      <c r="W89" s="66">
        <f t="shared" si="29"/>
        <v>4</v>
      </c>
      <c r="X89" s="66">
        <f t="shared" si="29"/>
        <v>0</v>
      </c>
      <c r="Y89" s="66">
        <f t="shared" si="29"/>
        <v>0</v>
      </c>
      <c r="Z89" s="66">
        <f t="shared" si="29"/>
        <v>0</v>
      </c>
      <c r="AA89" s="66">
        <f t="shared" si="29"/>
        <v>3</v>
      </c>
      <c r="AB89" s="66">
        <f t="shared" si="29"/>
        <v>0</v>
      </c>
      <c r="AC89" s="66">
        <f t="shared" si="29"/>
        <v>0</v>
      </c>
      <c r="AD89" s="66">
        <f t="shared" si="29"/>
        <v>0</v>
      </c>
      <c r="AE89" s="66">
        <f t="shared" si="29"/>
        <v>4</v>
      </c>
      <c r="AF89" s="66">
        <f t="shared" si="29"/>
        <v>0</v>
      </c>
      <c r="AG89" s="66">
        <f t="shared" si="29"/>
        <v>0</v>
      </c>
      <c r="AH89" s="66">
        <f t="shared" si="29"/>
        <v>0</v>
      </c>
      <c r="AI89" s="67">
        <f t="shared" si="29"/>
        <v>4</v>
      </c>
      <c r="AJ89" s="85">
        <f>SUM(AJ84:AJ88)</f>
        <v>792</v>
      </c>
      <c r="AK89" s="67">
        <f>SUM(AK84:AK88)</f>
        <v>33</v>
      </c>
      <c r="AL89" s="312">
        <f>AL84+AL85+AL86+AL87+AL88</f>
        <v>213749.999999472</v>
      </c>
      <c r="AM89" s="16"/>
    </row>
    <row r="90" spans="1:40" ht="29.25" customHeight="1" thickBot="1" x14ac:dyDescent="0.3">
      <c r="A90" s="389" t="s">
        <v>24</v>
      </c>
      <c r="B90" s="390"/>
      <c r="C90" s="390"/>
      <c r="D90" s="390"/>
      <c r="E90" s="390"/>
      <c r="F90" s="278">
        <f>SUM(F89,F83,F77,F71,F64,F61,F51,F38,F28,F9)</f>
        <v>33</v>
      </c>
      <c r="G90" s="66">
        <v>30</v>
      </c>
      <c r="H90" s="66">
        <f t="shared" ref="H90:AI90" si="30">COUNTA(H7:H89)</f>
        <v>43</v>
      </c>
      <c r="I90" s="66">
        <f t="shared" si="30"/>
        <v>41</v>
      </c>
      <c r="J90" s="66">
        <f t="shared" si="30"/>
        <v>40</v>
      </c>
      <c r="K90" s="66">
        <f t="shared" si="30"/>
        <v>34</v>
      </c>
      <c r="L90" s="66">
        <f t="shared" si="30"/>
        <v>31</v>
      </c>
      <c r="M90" s="66">
        <f t="shared" si="30"/>
        <v>41</v>
      </c>
      <c r="N90" s="66">
        <f t="shared" si="30"/>
        <v>40</v>
      </c>
      <c r="O90" s="66">
        <f t="shared" si="30"/>
        <v>44</v>
      </c>
      <c r="P90" s="66">
        <f t="shared" si="30"/>
        <v>44</v>
      </c>
      <c r="Q90" s="66">
        <f t="shared" si="30"/>
        <v>42</v>
      </c>
      <c r="R90" s="66">
        <f t="shared" si="30"/>
        <v>26</v>
      </c>
      <c r="S90" s="66">
        <f t="shared" si="30"/>
        <v>29</v>
      </c>
      <c r="T90" s="66">
        <f t="shared" si="30"/>
        <v>43</v>
      </c>
      <c r="U90" s="66">
        <f t="shared" si="30"/>
        <v>41</v>
      </c>
      <c r="V90" s="66">
        <f t="shared" si="30"/>
        <v>41</v>
      </c>
      <c r="W90" s="66">
        <f t="shared" si="30"/>
        <v>43</v>
      </c>
      <c r="X90" s="66">
        <f t="shared" si="30"/>
        <v>44</v>
      </c>
      <c r="Y90" s="66">
        <f t="shared" si="30"/>
        <v>29</v>
      </c>
      <c r="Z90" s="66">
        <f t="shared" si="30"/>
        <v>27</v>
      </c>
      <c r="AA90" s="66">
        <f t="shared" si="30"/>
        <v>44</v>
      </c>
      <c r="AB90" s="66">
        <f t="shared" si="30"/>
        <v>46</v>
      </c>
      <c r="AC90" s="66">
        <f t="shared" si="30"/>
        <v>42</v>
      </c>
      <c r="AD90" s="66">
        <f t="shared" si="30"/>
        <v>42</v>
      </c>
      <c r="AE90" s="66">
        <f t="shared" si="30"/>
        <v>46</v>
      </c>
      <c r="AF90" s="66">
        <f t="shared" si="30"/>
        <v>36</v>
      </c>
      <c r="AG90" s="66">
        <f t="shared" si="30"/>
        <v>34</v>
      </c>
      <c r="AH90" s="66">
        <f t="shared" si="30"/>
        <v>41</v>
      </c>
      <c r="AI90" s="66">
        <f t="shared" si="30"/>
        <v>43</v>
      </c>
      <c r="AJ90" s="85">
        <f>SUM(AJ89,AJ83,AJ77,AJ71,AJ64,AJ61,AJ51,AJ38,AJ28,AJ9)</f>
        <v>8889</v>
      </c>
      <c r="AK90" s="67">
        <f>SUM(AK9,AK28,AK38,AK51,AK61,AK64,AK71,AK77,AK83,AK89)</f>
        <v>750</v>
      </c>
      <c r="AL90" s="312">
        <f>AM90-AL71-AL77-AL83-AL89</f>
        <v>8035.7142886719084</v>
      </c>
      <c r="AM90" s="308">
        <v>1060000</v>
      </c>
    </row>
    <row r="91" spans="1:40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16"/>
    </row>
    <row r="92" spans="1:40" ht="27.75" customHeight="1" x14ac:dyDescent="0.25">
      <c r="A92" s="280" t="s">
        <v>189</v>
      </c>
      <c r="B92" s="195" t="s">
        <v>188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229"/>
      <c r="AM92" s="205"/>
    </row>
    <row r="93" spans="1:40" ht="26.25" customHeight="1" x14ac:dyDescent="0.25">
      <c r="A93" s="194">
        <v>8</v>
      </c>
      <c r="B93" s="193" t="s">
        <v>171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229"/>
      <c r="AM93" s="313"/>
    </row>
    <row r="94" spans="1:40" ht="23.25" customHeight="1" x14ac:dyDescent="0.25">
      <c r="A94" s="9" t="s">
        <v>172</v>
      </c>
      <c r="B94" s="193" t="s">
        <v>173</v>
      </c>
      <c r="AM94" s="309"/>
    </row>
    <row r="95" spans="1:40" ht="25.5" customHeight="1" x14ac:dyDescent="0.25">
      <c r="A95" s="297" t="s">
        <v>170</v>
      </c>
      <c r="B95" s="193" t="s">
        <v>174</v>
      </c>
    </row>
    <row r="96" spans="1:40" ht="28.5" customHeight="1" x14ac:dyDescent="0.25">
      <c r="A96" s="10" t="s">
        <v>175</v>
      </c>
      <c r="B96" s="193" t="s">
        <v>176</v>
      </c>
    </row>
    <row r="97" spans="1:39" ht="27.75" customHeight="1" x14ac:dyDescent="0.25">
      <c r="A97" s="11" t="s">
        <v>177</v>
      </c>
      <c r="B97" s="193" t="s">
        <v>178</v>
      </c>
    </row>
    <row r="98" spans="1:39" ht="27.75" customHeight="1" x14ac:dyDescent="0.25">
      <c r="A98" s="12"/>
      <c r="B98" s="193" t="s">
        <v>179</v>
      </c>
    </row>
    <row r="99" spans="1:39" ht="27.75" customHeight="1" x14ac:dyDescent="0.25">
      <c r="A99" s="13"/>
      <c r="B99" s="193" t="s">
        <v>180</v>
      </c>
    </row>
    <row r="100" spans="1:39" ht="27" customHeight="1" x14ac:dyDescent="0.25">
      <c r="A100" s="14" t="s">
        <v>181</v>
      </c>
      <c r="B100" s="193" t="s">
        <v>182</v>
      </c>
    </row>
    <row r="108" spans="1:39" ht="18" customHeight="1" x14ac:dyDescent="0.25">
      <c r="A108" s="3"/>
      <c r="B108" s="29" t="s">
        <v>79</v>
      </c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44" t="s">
        <v>80</v>
      </c>
      <c r="R108" s="344"/>
      <c r="S108" s="344"/>
      <c r="T108" s="344"/>
      <c r="U108" s="344"/>
      <c r="V108" s="344"/>
      <c r="W108" s="344"/>
      <c r="X108" s="344"/>
      <c r="Y108" s="344"/>
      <c r="Z108" s="344"/>
      <c r="AA108" s="344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16"/>
    </row>
    <row r="109" spans="1:39" ht="32.450000000000003" customHeight="1" x14ac:dyDescent="0.25">
      <c r="A109" s="4">
        <v>1</v>
      </c>
      <c r="B109" s="7" t="s">
        <v>81</v>
      </c>
      <c r="C109" s="3" t="s">
        <v>82</v>
      </c>
      <c r="D109" s="37" t="s">
        <v>83</v>
      </c>
      <c r="E109" s="344" t="s">
        <v>84</v>
      </c>
      <c r="F109" s="344"/>
      <c r="G109" s="344"/>
      <c r="H109" s="344"/>
      <c r="I109" s="344"/>
      <c r="J109" s="344"/>
      <c r="K109" s="344"/>
      <c r="L109" s="344"/>
      <c r="M109" s="345" t="s">
        <v>85</v>
      </c>
      <c r="N109" s="345"/>
      <c r="O109" s="345"/>
      <c r="P109" s="345"/>
      <c r="Q109" s="348" t="s">
        <v>106</v>
      </c>
      <c r="R109" s="349"/>
      <c r="S109" s="349"/>
      <c r="T109" s="349"/>
      <c r="U109" s="349"/>
      <c r="V109" s="349"/>
      <c r="W109" s="349"/>
      <c r="X109" s="349"/>
      <c r="Y109" s="349"/>
      <c r="Z109" s="349"/>
      <c r="AA109" s="350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16"/>
    </row>
    <row r="110" spans="1:39" ht="35.450000000000003" customHeight="1" x14ac:dyDescent="0.25">
      <c r="A110" s="4">
        <v>2</v>
      </c>
      <c r="B110" s="7" t="s">
        <v>81</v>
      </c>
      <c r="C110" s="3" t="s">
        <v>82</v>
      </c>
      <c r="D110" s="37" t="s">
        <v>86</v>
      </c>
      <c r="E110" s="344" t="s">
        <v>87</v>
      </c>
      <c r="F110" s="344"/>
      <c r="G110" s="344"/>
      <c r="H110" s="344"/>
      <c r="I110" s="344"/>
      <c r="J110" s="344"/>
      <c r="K110" s="344"/>
      <c r="L110" s="344"/>
      <c r="M110" s="345" t="s">
        <v>85</v>
      </c>
      <c r="N110" s="345"/>
      <c r="O110" s="345"/>
      <c r="P110" s="345"/>
      <c r="Q110" s="348" t="s">
        <v>98</v>
      </c>
      <c r="R110" s="349"/>
      <c r="S110" s="349"/>
      <c r="T110" s="349"/>
      <c r="U110" s="349"/>
      <c r="V110" s="349"/>
      <c r="W110" s="349"/>
      <c r="X110" s="349"/>
      <c r="Y110" s="349"/>
      <c r="Z110" s="349"/>
      <c r="AA110" s="350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16"/>
    </row>
    <row r="111" spans="1:39" x14ac:dyDescent="0.25">
      <c r="A111" s="4">
        <v>3</v>
      </c>
      <c r="B111" s="7" t="s">
        <v>0</v>
      </c>
      <c r="C111" s="3" t="s">
        <v>82</v>
      </c>
      <c r="D111" s="37" t="s">
        <v>88</v>
      </c>
      <c r="E111" s="344"/>
      <c r="F111" s="344"/>
      <c r="G111" s="344"/>
      <c r="H111" s="344"/>
      <c r="I111" s="344"/>
      <c r="J111" s="344"/>
      <c r="K111" s="344"/>
      <c r="L111" s="344"/>
      <c r="M111" s="345" t="s">
        <v>89</v>
      </c>
      <c r="N111" s="345"/>
      <c r="O111" s="345"/>
      <c r="P111" s="345"/>
      <c r="Q111" s="346" t="s">
        <v>90</v>
      </c>
      <c r="R111" s="346"/>
      <c r="S111" s="346"/>
      <c r="T111" s="346"/>
      <c r="U111" s="346"/>
      <c r="V111" s="346"/>
      <c r="W111" s="346"/>
      <c r="X111" s="346"/>
      <c r="Y111" s="346"/>
      <c r="Z111" s="346"/>
      <c r="AA111" s="34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16"/>
    </row>
    <row r="112" spans="1:39" ht="24" customHeight="1" x14ac:dyDescent="0.25">
      <c r="A112" s="4">
        <v>4</v>
      </c>
      <c r="B112" s="7" t="s">
        <v>104</v>
      </c>
      <c r="C112" s="3" t="s">
        <v>82</v>
      </c>
      <c r="D112" s="37" t="s">
        <v>91</v>
      </c>
      <c r="E112" s="344"/>
      <c r="F112" s="344"/>
      <c r="G112" s="344"/>
      <c r="H112" s="344"/>
      <c r="I112" s="344"/>
      <c r="J112" s="344"/>
      <c r="K112" s="344"/>
      <c r="L112" s="344"/>
      <c r="M112" s="345" t="s">
        <v>89</v>
      </c>
      <c r="N112" s="345"/>
      <c r="O112" s="345"/>
      <c r="P112" s="345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  <c r="AA112" s="34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16"/>
    </row>
    <row r="113" spans="1:39" ht="24" customHeight="1" x14ac:dyDescent="0.25">
      <c r="A113" s="4">
        <v>5</v>
      </c>
      <c r="B113" s="7" t="s">
        <v>53</v>
      </c>
      <c r="C113" s="3" t="s">
        <v>82</v>
      </c>
      <c r="D113" s="37" t="s">
        <v>92</v>
      </c>
      <c r="E113" s="344" t="s">
        <v>112</v>
      </c>
      <c r="F113" s="344"/>
      <c r="G113" s="344"/>
      <c r="H113" s="344"/>
      <c r="I113" s="344"/>
      <c r="J113" s="344"/>
      <c r="K113" s="344"/>
      <c r="L113" s="344"/>
      <c r="M113" s="345" t="s">
        <v>89</v>
      </c>
      <c r="N113" s="345"/>
      <c r="O113" s="345"/>
      <c r="P113" s="345"/>
      <c r="Q113" s="346" t="s">
        <v>93</v>
      </c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16"/>
    </row>
    <row r="114" spans="1:39" x14ac:dyDescent="0.25">
      <c r="A114" s="4">
        <v>6</v>
      </c>
      <c r="B114" s="7" t="s">
        <v>57</v>
      </c>
      <c r="C114" s="3" t="s">
        <v>82</v>
      </c>
      <c r="D114" s="37" t="s">
        <v>94</v>
      </c>
      <c r="E114" s="344"/>
      <c r="F114" s="344"/>
      <c r="G114" s="344"/>
      <c r="H114" s="344"/>
      <c r="I114" s="344"/>
      <c r="J114" s="344"/>
      <c r="K114" s="344"/>
      <c r="L114" s="344"/>
      <c r="M114" s="345" t="s">
        <v>89</v>
      </c>
      <c r="N114" s="345"/>
      <c r="O114" s="345"/>
      <c r="P114" s="345"/>
      <c r="Q114" s="346" t="s">
        <v>95</v>
      </c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16"/>
    </row>
    <row r="115" spans="1:39" x14ac:dyDescent="0.25">
      <c r="A115" s="4">
        <v>7</v>
      </c>
      <c r="B115" s="7" t="s">
        <v>37</v>
      </c>
      <c r="C115" s="3" t="s">
        <v>82</v>
      </c>
      <c r="D115" s="37" t="s">
        <v>96</v>
      </c>
      <c r="E115" s="344"/>
      <c r="F115" s="344"/>
      <c r="G115" s="344"/>
      <c r="H115" s="344"/>
      <c r="I115" s="344"/>
      <c r="J115" s="344"/>
      <c r="K115" s="344"/>
      <c r="L115" s="344"/>
      <c r="M115" s="345" t="s">
        <v>89</v>
      </c>
      <c r="N115" s="345"/>
      <c r="O115" s="345"/>
      <c r="P115" s="345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347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16"/>
    </row>
    <row r="116" spans="1:39" x14ac:dyDescent="0.25">
      <c r="A116" s="4">
        <v>8</v>
      </c>
      <c r="B116" s="7" t="s">
        <v>108</v>
      </c>
      <c r="C116" s="3" t="s">
        <v>82</v>
      </c>
      <c r="D116" s="37" t="s">
        <v>109</v>
      </c>
      <c r="E116" s="352"/>
      <c r="F116" s="353"/>
      <c r="G116" s="353"/>
      <c r="H116" s="353"/>
      <c r="I116" s="353"/>
      <c r="J116" s="353"/>
      <c r="K116" s="353"/>
      <c r="L116" s="354"/>
      <c r="M116" s="345" t="s">
        <v>89</v>
      </c>
      <c r="N116" s="345"/>
      <c r="O116" s="345"/>
      <c r="P116" s="345"/>
      <c r="Q116" s="355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7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16"/>
    </row>
    <row r="117" spans="1:39" x14ac:dyDescent="0.25">
      <c r="A117" s="4">
        <v>9</v>
      </c>
      <c r="B117" s="7" t="s">
        <v>110</v>
      </c>
      <c r="C117" s="3" t="s">
        <v>82</v>
      </c>
      <c r="D117" s="37" t="s">
        <v>111</v>
      </c>
      <c r="E117" s="352"/>
      <c r="F117" s="353"/>
      <c r="G117" s="353"/>
      <c r="H117" s="353"/>
      <c r="I117" s="353"/>
      <c r="J117" s="353"/>
      <c r="K117" s="353"/>
      <c r="L117" s="354"/>
      <c r="M117" s="345" t="s">
        <v>89</v>
      </c>
      <c r="N117" s="345"/>
      <c r="O117" s="345"/>
      <c r="P117" s="345"/>
      <c r="Q117" s="355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7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16"/>
    </row>
    <row r="118" spans="1:39" x14ac:dyDescent="0.25">
      <c r="A118" s="4">
        <v>10</v>
      </c>
      <c r="B118" s="7" t="s">
        <v>84</v>
      </c>
      <c r="C118" s="3" t="s">
        <v>82</v>
      </c>
      <c r="D118" s="38" t="s">
        <v>97</v>
      </c>
      <c r="E118" s="344" t="s">
        <v>87</v>
      </c>
      <c r="F118" s="344"/>
      <c r="G118" s="344"/>
      <c r="H118" s="344"/>
      <c r="I118" s="344"/>
      <c r="J118" s="344"/>
      <c r="K118" s="344"/>
      <c r="L118" s="344"/>
      <c r="M118" s="345" t="s">
        <v>89</v>
      </c>
      <c r="N118" s="345"/>
      <c r="O118" s="345"/>
      <c r="P118" s="345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  <c r="AA118" s="347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16"/>
    </row>
  </sheetData>
  <mergeCells count="59">
    <mergeCell ref="A29:AL29"/>
    <mergeCell ref="C1:F1"/>
    <mergeCell ref="C2:F2"/>
    <mergeCell ref="C3:F3"/>
    <mergeCell ref="A4:A5"/>
    <mergeCell ref="B4:B5"/>
    <mergeCell ref="C4:C5"/>
    <mergeCell ref="D4:D5"/>
    <mergeCell ref="E4:E5"/>
    <mergeCell ref="AJ4:AK4"/>
    <mergeCell ref="A6:AL6"/>
    <mergeCell ref="A9:E9"/>
    <mergeCell ref="A10:AL10"/>
    <mergeCell ref="A28:E28"/>
    <mergeCell ref="A89:E89"/>
    <mergeCell ref="A38:E38"/>
    <mergeCell ref="A39:AL39"/>
    <mergeCell ref="A51:E51"/>
    <mergeCell ref="A52:AL52"/>
    <mergeCell ref="A61:E61"/>
    <mergeCell ref="A62:AL62"/>
    <mergeCell ref="A64:E64"/>
    <mergeCell ref="A65:AL65"/>
    <mergeCell ref="A71:E71"/>
    <mergeCell ref="A77:E77"/>
    <mergeCell ref="A83:E83"/>
    <mergeCell ref="A90:E90"/>
    <mergeCell ref="C108:P108"/>
    <mergeCell ref="Q108:AA108"/>
    <mergeCell ref="E109:L109"/>
    <mergeCell ref="M109:P109"/>
    <mergeCell ref="Q109:AA109"/>
    <mergeCell ref="E110:L110"/>
    <mergeCell ref="M110:P110"/>
    <mergeCell ref="Q110:AA110"/>
    <mergeCell ref="E111:L111"/>
    <mergeCell ref="M111:P111"/>
    <mergeCell ref="Q111:AA111"/>
    <mergeCell ref="E112:L112"/>
    <mergeCell ref="M112:P112"/>
    <mergeCell ref="Q112:AA112"/>
    <mergeCell ref="E113:L113"/>
    <mergeCell ref="M113:P113"/>
    <mergeCell ref="Q113:AA113"/>
    <mergeCell ref="E114:L114"/>
    <mergeCell ref="M114:P114"/>
    <mergeCell ref="Q114:AA114"/>
    <mergeCell ref="E115:L115"/>
    <mergeCell ref="M115:P115"/>
    <mergeCell ref="Q115:AA115"/>
    <mergeCell ref="E118:L118"/>
    <mergeCell ref="M118:P118"/>
    <mergeCell ref="Q118:AA118"/>
    <mergeCell ref="E116:L116"/>
    <mergeCell ref="M116:P116"/>
    <mergeCell ref="Q116:AA116"/>
    <mergeCell ref="E117:L117"/>
    <mergeCell ref="M117:P117"/>
    <mergeCell ref="Q117:AA1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  <pageSetUpPr fitToPage="1"/>
  </sheetPr>
  <dimension ref="A1:D18"/>
  <sheetViews>
    <sheetView tabSelected="1" zoomScale="70" zoomScaleNormal="70" workbookViewId="0">
      <pane ySplit="2" topLeftCell="A3" activePane="bottomLeft" state="frozen"/>
      <selection pane="bottomLeft" activeCell="K14" sqref="K14"/>
    </sheetView>
  </sheetViews>
  <sheetFormatPr defaultRowHeight="15" x14ac:dyDescent="0.25"/>
  <cols>
    <col min="1" max="1" width="12" bestFit="1" customWidth="1"/>
    <col min="2" max="2" width="39.5703125" customWidth="1"/>
    <col min="3" max="3" width="48" customWidth="1"/>
    <col min="4" max="4" width="20.140625" customWidth="1"/>
  </cols>
  <sheetData>
    <row r="1" spans="1:4" ht="36.75" customHeight="1" x14ac:dyDescent="0.25">
      <c r="A1" s="376" t="s">
        <v>153</v>
      </c>
      <c r="B1" s="361" t="s">
        <v>160</v>
      </c>
      <c r="C1" s="361" t="s">
        <v>183</v>
      </c>
      <c r="D1" s="361" t="s">
        <v>184</v>
      </c>
    </row>
    <row r="2" spans="1:4" ht="37.5" customHeight="1" thickBot="1" x14ac:dyDescent="0.3">
      <c r="A2" s="399"/>
      <c r="B2" s="400"/>
      <c r="C2" s="400"/>
      <c r="D2" s="400"/>
    </row>
    <row r="3" spans="1:4" ht="35.1" customHeight="1" thickBot="1" x14ac:dyDescent="0.3">
      <c r="A3" s="384" t="s">
        <v>254</v>
      </c>
      <c r="B3" s="385"/>
      <c r="C3" s="385"/>
      <c r="D3" s="385"/>
    </row>
    <row r="4" spans="1:4" ht="35.1" customHeight="1" x14ac:dyDescent="0.25">
      <c r="A4" s="101">
        <v>1</v>
      </c>
      <c r="B4" s="70" t="s">
        <v>228</v>
      </c>
      <c r="C4" s="71" t="s">
        <v>236</v>
      </c>
      <c r="D4" s="102" t="s">
        <v>241</v>
      </c>
    </row>
    <row r="5" spans="1:4" ht="35.1" customHeight="1" x14ac:dyDescent="0.25">
      <c r="A5" s="101">
        <v>2</v>
      </c>
      <c r="B5" s="47" t="s">
        <v>53</v>
      </c>
      <c r="C5" s="40" t="s">
        <v>237</v>
      </c>
      <c r="D5" s="40" t="s">
        <v>242</v>
      </c>
    </row>
    <row r="6" spans="1:4" ht="35.1" customHeight="1" x14ac:dyDescent="0.25">
      <c r="A6" s="101">
        <v>3</v>
      </c>
      <c r="B6" s="6" t="s">
        <v>28</v>
      </c>
      <c r="C6" s="40" t="s">
        <v>238</v>
      </c>
      <c r="D6" s="40" t="s">
        <v>243</v>
      </c>
    </row>
    <row r="7" spans="1:4" ht="35.1" customHeight="1" x14ac:dyDescent="0.25">
      <c r="A7" s="101">
        <v>4</v>
      </c>
      <c r="B7" s="343" t="s">
        <v>258</v>
      </c>
      <c r="C7" s="40" t="s">
        <v>255</v>
      </c>
      <c r="D7" s="40" t="s">
        <v>259</v>
      </c>
    </row>
    <row r="8" spans="1:4" ht="35.1" customHeight="1" x14ac:dyDescent="0.25">
      <c r="A8" s="101">
        <v>5</v>
      </c>
      <c r="B8" s="6" t="s">
        <v>105</v>
      </c>
      <c r="C8" s="40" t="s">
        <v>84</v>
      </c>
      <c r="D8" s="40" t="s">
        <v>244</v>
      </c>
    </row>
    <row r="9" spans="1:4" ht="34.9" customHeight="1" x14ac:dyDescent="0.25">
      <c r="A9" s="101">
        <v>6</v>
      </c>
      <c r="B9" s="6" t="s">
        <v>63</v>
      </c>
      <c r="C9" s="40" t="s">
        <v>239</v>
      </c>
      <c r="D9" s="40" t="s">
        <v>245</v>
      </c>
    </row>
    <row r="10" spans="1:4" ht="35.1" customHeight="1" x14ac:dyDescent="0.25">
      <c r="A10" s="101">
        <v>7</v>
      </c>
      <c r="B10" s="6" t="s">
        <v>229</v>
      </c>
      <c r="C10" s="40" t="s">
        <v>240</v>
      </c>
      <c r="D10" s="40" t="s">
        <v>246</v>
      </c>
    </row>
    <row r="11" spans="1:4" ht="35.1" customHeight="1" x14ac:dyDescent="0.25">
      <c r="A11" s="101">
        <v>8</v>
      </c>
      <c r="B11" s="6" t="s">
        <v>67</v>
      </c>
      <c r="C11" s="40" t="s">
        <v>84</v>
      </c>
      <c r="D11" s="40" t="s">
        <v>247</v>
      </c>
    </row>
    <row r="12" spans="1:4" ht="35.1" customHeight="1" x14ac:dyDescent="0.25">
      <c r="A12" s="101">
        <v>9</v>
      </c>
      <c r="B12" s="6" t="s">
        <v>230</v>
      </c>
      <c r="C12" s="40" t="s">
        <v>240</v>
      </c>
      <c r="D12" s="40" t="s">
        <v>248</v>
      </c>
    </row>
    <row r="13" spans="1:4" ht="35.1" customHeight="1" x14ac:dyDescent="0.25">
      <c r="A13" s="101">
        <v>10</v>
      </c>
      <c r="B13" s="6" t="s">
        <v>231</v>
      </c>
      <c r="C13" s="40" t="s">
        <v>84</v>
      </c>
      <c r="D13" s="40" t="s">
        <v>249</v>
      </c>
    </row>
    <row r="14" spans="1:4" ht="35.1" customHeight="1" x14ac:dyDescent="0.25">
      <c r="A14" s="101">
        <v>11</v>
      </c>
      <c r="B14" s="343" t="s">
        <v>256</v>
      </c>
      <c r="C14" s="40" t="s">
        <v>240</v>
      </c>
      <c r="D14" s="40" t="s">
        <v>257</v>
      </c>
    </row>
    <row r="15" spans="1:4" ht="35.1" customHeight="1" x14ac:dyDescent="0.25">
      <c r="A15" s="101">
        <v>12</v>
      </c>
      <c r="B15" s="6" t="s">
        <v>232</v>
      </c>
      <c r="C15" s="40" t="s">
        <v>240</v>
      </c>
      <c r="D15" s="40" t="s">
        <v>250</v>
      </c>
    </row>
    <row r="16" spans="1:4" ht="35.1" customHeight="1" x14ac:dyDescent="0.25">
      <c r="A16" s="101">
        <v>13</v>
      </c>
      <c r="B16" s="6" t="s">
        <v>233</v>
      </c>
      <c r="C16" s="40" t="s">
        <v>84</v>
      </c>
      <c r="D16" s="40" t="s">
        <v>251</v>
      </c>
    </row>
    <row r="17" spans="1:4" ht="35.1" customHeight="1" x14ac:dyDescent="0.25">
      <c r="A17" s="101">
        <v>14</v>
      </c>
      <c r="B17" s="6" t="s">
        <v>234</v>
      </c>
      <c r="C17" s="40" t="s">
        <v>240</v>
      </c>
      <c r="D17" s="40" t="s">
        <v>252</v>
      </c>
    </row>
    <row r="18" spans="1:4" ht="35.1" customHeight="1" x14ac:dyDescent="0.25">
      <c r="A18" s="101">
        <v>15</v>
      </c>
      <c r="B18" s="6" t="s">
        <v>235</v>
      </c>
      <c r="C18" s="40" t="s">
        <v>240</v>
      </c>
      <c r="D18" s="40" t="s">
        <v>253</v>
      </c>
    </row>
  </sheetData>
  <mergeCells count="5">
    <mergeCell ref="A3:D3"/>
    <mergeCell ref="A1:A2"/>
    <mergeCell ref="B1:B2"/>
    <mergeCell ref="C1:C2"/>
    <mergeCell ref="D1:D2"/>
  </mergeCells>
  <pageMargins left="0.25" right="0.25" top="0.75" bottom="0.75" header="0.3" footer="0.3"/>
  <pageSetup paperSize="8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Июль 2025</vt:lpstr>
      <vt:lpstr> Август 2025</vt:lpstr>
      <vt:lpstr>Сентябрь 2025 </vt:lpstr>
      <vt:lpstr>Ноябрь 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Sukhanova Anna</dc:creator>
  <cp:lastModifiedBy>Хабаров Денис Борисович</cp:lastModifiedBy>
  <cp:lastPrinted>2025-11-01T10:43:27Z</cp:lastPrinted>
  <dcterms:created xsi:type="dcterms:W3CDTF">2023-10-26T12:13:08Z</dcterms:created>
  <dcterms:modified xsi:type="dcterms:W3CDTF">2025-12-12T14:55:12Z</dcterms:modified>
</cp:coreProperties>
</file>