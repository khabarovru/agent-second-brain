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АКТУ'!$A$1:$H$46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9" l="1"/>
  <c r="H45" i="9" l="1"/>
  <c r="H43" i="9"/>
  <c r="H41" i="9"/>
  <c r="H39" i="9"/>
  <c r="B8" i="9" l="1"/>
  <c r="D54" i="5" l="1"/>
  <c r="D65" i="5"/>
  <c r="D63" i="5"/>
  <c r="D78" i="5" l="1"/>
  <c r="D129" i="5" l="1"/>
  <c r="D52" i="5"/>
  <c r="D51" i="5" l="1"/>
  <c r="B24" i="9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<sst xmlns="http://schemas.openxmlformats.org/spreadsheetml/2006/main" count="739" uniqueCount="422">
  <si>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</si>
  <si>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</si>
  <si>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</si>
  <si>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</si>
  <si>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</si>
  <si>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</si>
  <si>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</si>
  <si>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</si>
  <si>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</si>
  <si>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</si>
  <si>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</si>
  <si>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</si>
  <si>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</si>
  <si>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</si>
  <si>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</si>
  <si>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</si>
  <si>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</si>
  <si>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</si>
  <si>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</si>
  <si>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</si>
  <si>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</si>
  <si>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</si>
  <si>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</si>
  <si>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</si>
  <si>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</si>
  <si>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</si>
  <si>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</si>
  <si>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</si>
  <si>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</si>
  <si>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</si>
  <si>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</si>
  <si>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</si>
  <si>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</si>
  <si>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</si>
  <si>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</si>
  <si>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</si>
  <si>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</si>
  <si>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</si>
  <si>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</si>
  <si>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</si>
  <si>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</si>
  <si>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</si>
  <si>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</si>
  <si>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</si>
  <si>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</si>
  <si>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</si>
  <si>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</si>
  <si>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</si>
  <si>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</si>
  <si>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</si>
  <si>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</si>
  <si>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</si>
  <si>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</si>
  <si>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</si>
  <si>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</si>
  <si>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</si>
  <si>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</si>
  <si>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</si>
  <si>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</si>
  <si>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</si>
  <si>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</si>
  <si>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</si>
  <si>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</si>
  <si>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</si>
  <si>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</si>
  <si>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</si>
  <si>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</si>
  <si>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</si>
  <si>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</si>
  <si>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</si>
  <si>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</si>
  <si>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</si>
  <si>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</si>
  <si>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</si>
  <si>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</si>
  <si>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</si>
  <si>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</si>
  <si>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</si>
  <si>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</si>
  <si>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</si>
  <si>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</si>
  <si>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</si>
  <si>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</si>
  <si>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</si>
  <si>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</si>
  <si>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</si>
  <si>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</si>
  <si>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</si>
  <si>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</si>
  <si>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</si>
  <si>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</si>
  <si>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</si>
  <si>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</si>
  <si>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</si>
  <si>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</si>
  <si>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</si>
  <si>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</si>
  <si>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</si>
  <si>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</si>
  <si>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</si>
  <si>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</si>
  <si>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</si>
  <si>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</si>
  <si>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</si>
  <si>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</si>
  <si>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</si>
  <si>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</si>
  <si>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</si>
  <si>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</si>
  <si>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</si>
  <si>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</si>
  <si>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</si>
  <si>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</si>
  <si>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</si>
  <si>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</si>
  <si>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</si>
  <si>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</si>
  <si>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</si>
  <si>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</si>
  <si>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</si>
  <si>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</si>
  <si>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</si>
  <si>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</si>
  <si>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</si>
  <si>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</si>
  <si>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</si>
  <si>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</si>
  <si>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</si>
  <si>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</si>
  <si>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</si>
  <si>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</si>
  <si>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</si>
  <si>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</si>
  <si>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</si>
  <si>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</si>
  <si>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</si>
  <si>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</si>
  <si>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</si>
  <si>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</si>
  <si>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</si>
  <si>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</si>
  <si>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</si>
  <si>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</si>
  <si>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</si>
  <si>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</si>
  <si>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</si>
  <si>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</si>
  <si>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</si>
  <si>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</si>
  <si>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</si>
  <si>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</si>
  <si>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</si>
  <si>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</si>
  <si>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</si>
  <si>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</si>
  <si>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</si>
  <si>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</si>
  <si>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</si>
  <si>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</si>
  <si>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</si>
  <si>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</si>
  <si>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</si>
  <si>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</si>
  <si>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</si>
  <si>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</si>
  <si>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</si>
  <si>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</si>
  <si>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</si>
  <si>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</si>
  <si>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</si>
  <si>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</si>
  <si>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</si>
  <si>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</si>
  <si>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</si>
  <si>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</si>
  <si>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</si>
  <si>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</si>
  <si>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</si>
  <si>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</si>
  <si>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</si>
  <si>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</si>
  <si>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</si>
  <si>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</si>
  <si>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</si>
  <si>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</si>
  <si>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</si>
  <si>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</si>
  <si>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</si>
  <si>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</si>
  <si>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</si>
  <si>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</si>
  <si>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</si>
  <si>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</si>
  <si>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</si>
  <si>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</si>
  <si>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</si>
  <si>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</si>
  <si>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</si>
  <si>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</si>
  <si>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</si>
  <si>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</si>
  <si>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</si>
  <si>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</si>
  <si>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</si>
  <si>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</si>
  <si>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</si>
  <si>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</si>
  <si>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</si>
  <si>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</si>
  <si>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</si>
  <si>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</si>
  <si>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</si>
  <si>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</si>
  <si>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</si>
  <si>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</si>
  <si>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</si>
  <si>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</si>
  <si>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</si>
  <si>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</si>
  <si>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</si>
  <si>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</si>
  <si>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</si>
  <si>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</si>
  <si>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</si>
  <si>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</si>
  <si>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</si>
  <si>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</si>
  <si>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</si>
  <si>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</si>
  <si>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</si>
  <si>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</si>
  <si>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</si>
  <si>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</si>
  <si>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</si>
  <si>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</si>
  <si>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</si>
  <si>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</si>
  <si>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</si>
  <si>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</si>
  <si>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</si>
  <si>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</si>
  <si>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</si>
  <si>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</si>
  <si>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</si>
  <si>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</si>
  <si>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</si>
  <si>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</si>
  <si>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</si>
  <si>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</si>
  <si>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</si>
  <si>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</si>
  <si>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</si>
  <si>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</si>
  <si>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</si>
  <si>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</si>
  <si>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</si>
  <si>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</si>
  <si>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</si>
  <si>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</si>
  <si>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</si>
  <si>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</si>
  <si>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</si>
  <si>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</si>
  <si>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</si>
  <si>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</si>
  <si>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</si>
  <si>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</si>
  <si>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</si>
  <si>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</si>
  <si>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</si>
  <si>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</si>
  <si>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</si>
  <si>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</si>
  <si>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</si>
  <si>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</si>
  <si>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</si>
  <si>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</si>
  <si>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</si>
  <si>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</si>
  <si>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</si>
  <si>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</si>
  <si>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</si>
  <si>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</si>
  <si>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</si>
  <si>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</si>
  <si>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</si>
  <si>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</si>
  <si>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</si>
  <si>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</si>
  <si>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</si>
  <si>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</si>
  <si>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</si>
  <si>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</si>
  <si>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</si>
  <si>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</si>
  <si>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</si>
  <si>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</si>
  <si>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</si>
  <si>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</si>
  <si>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</si>
  <si>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</si>
  <si>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</si>
  <si>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</si>
  <si>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</si>
  <si>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</si>
  <si>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</si>
  <si>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</si>
  <si>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</si>
  <si>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</si>
  <si>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</si>
  <si>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</si>
  <si>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</si>
  <si>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</si>
  <si>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</si>
  <si>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</si>
  <si>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</si>
  <si>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</si>
  <si>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</si>
  <si>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</si>
  <si>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</si>
  <si>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</si>
  <si>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</si>
  <si>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</si>
  <si>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</si>
  <si>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</si>
  <si>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</si>
  <si>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</si>
  <si>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</si>
  <si>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</si>
  <si>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</si>
  <si>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</si>
  <si>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</si>
  <si>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</si>
  <si>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</si>
  <si>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</si>
  <si>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</si>
  <si>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</si>
  <si>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</si>
  <si>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</si>
  <si>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</si>
  <si>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</si>
  <si>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</si>
  <si>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</si>
  <si>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</si>
  <si>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</si>
  <si>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</si>
  <si>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</si>
  <si>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</si>
  <si>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</si>
  <si>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</si>
  <si>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</si>
  <si>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</si>
  <si>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</si>
  <si>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</si>
  <si>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</si>
  <si>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</si>
  <si>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</si>
  <si>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</si>
  <si>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</si>
  <si>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</si>
  <si>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</si>
  <si>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</si>
  <si>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</si>
  <si>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</si>
  <si>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</si>
  <si>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</si>
  <si>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</si>
  <si>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</si>
  <si>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</si>
  <si>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</si>
  <si>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</si>
  <si>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</si>
  <si>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</si>
  <si>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</si>
  <si>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</si>
  <si>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</si>
  <si>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</si>
  <si>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</si>
  <si>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</si>
  <si>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</si>
  <si>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</si>
  <si>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</si>
  <si>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</si>
  <si>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</si>
  <si>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</si>
  <si>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</si>
  <si>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</si>
  <si>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</si>
  <si>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</si>
  <si>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</si>
  <si>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</si>
  <si>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</si>
  <si>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</si>
  <si>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</si>
  <si>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</si>
  <si>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</si>
  <si>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</si>
  <si>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</si>
  <si>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</si>
  <si>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</si>
  <si>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</si>
  <si>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</si>
  <si>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</si>
  <si>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</si>
  <si>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</si>
  <si>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</si>
  <si>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</si>
  <si>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</si>
  <si>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</si>
  <si>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</si>
  <si>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</si>
  <si>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</si>
  <si>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Хабаров Д.Б.</t>
  </si>
  <si>
    <t>шт</t>
  </si>
  <si>
    <t xml:space="preserve">2204003 Материалы для ТО и ТР лифтов и эскалаторов </t>
  </si>
  <si>
    <t>Техническое обслуживание лифтового оборудования</t>
  </si>
  <si>
    <t>Тросик синхронизации дверей L=2470мм D=2мм шпилька М6 OTIS</t>
  </si>
  <si>
    <t>Агеев В.А.</t>
  </si>
  <si>
    <t>Линев А.В.</t>
  </si>
  <si>
    <t>Королев Л.В.</t>
  </si>
  <si>
    <t>Николенко А.Ю.</t>
  </si>
  <si>
    <t>Заявка на обеспечение II00-0000954 от 13.08.2025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</si>
</sst>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43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21" fillId="0" borderId="4" xfId="0" applyFont="1" applyFill="1" applyBorder="1" applyAlignment="1" applyProtection="1">
      <alignment horizontal="left" indent="1"/>
      <protection locked="0"/>
    </xf>
    <xf numFmtId="1" fontId="21" fillId="0" borderId="4" xfId="0" applyNumberFormat="1" applyFont="1" applyFill="1" applyBorder="1" applyAlignment="1" applyProtection="1">
      <alignment horizontal="left" indent="1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  <xf numFmtId="0" fontId="18" fillId="0" borderId="4" xfId="0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10" zoomScale="85" zoomScaleNormal="85" zoomScaleSheetLayoutView="115" workbookViewId="0">
      <selection activeCell="G29" sqref="G29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4" t="s">
        <v>364</v>
      </c>
      <c r="B1" s="134"/>
      <c r="C1" s="134"/>
      <c r="D1" s="134"/>
      <c r="E1" s="134"/>
      <c r="F1" s="134"/>
      <c r="G1" s="134"/>
      <c r="H1" s="134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7" t="s">
        <v>375</v>
      </c>
      <c r="C7" s="137"/>
      <c r="D7" s="137"/>
      <c r="E7" s="137"/>
      <c r="F7" s="137"/>
      <c r="G7" s="137"/>
      <c r="H7" s="137"/>
    </row>
    <row r="8" spans="1:8" s="74" customFormat="1" ht="21" x14ac:dyDescent="0.35">
      <c r="A8" s="75"/>
      <c r="B8" s="138">
        <f ca="1">NOW()+0</f>
        <v>45988.551377083335</v>
      </c>
      <c r="C8" s="138"/>
      <c r="D8" s="138"/>
      <c r="E8" s="138"/>
      <c r="F8" s="138"/>
      <c r="G8" s="138"/>
      <c r="H8" s="138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9" t="str">
        <f>IF(H11&lt;&gt;0,(VLOOKUP(H11,Сотрудники!D:E,2,0)),0)</f>
        <v>Руководитель группы</v>
      </c>
      <c r="D11" s="139"/>
      <c r="E11" s="139"/>
      <c r="F11" s="139"/>
      <c r="G11" s="139"/>
      <c r="H11" s="88" t="s">
        <v>412</v>
      </c>
    </row>
    <row r="12" spans="1:8" s="74" customFormat="1" ht="21" x14ac:dyDescent="0.35">
      <c r="A12" s="89"/>
      <c r="B12" s="89"/>
      <c r="C12" s="135" t="s">
        <v>4</v>
      </c>
      <c r="D12" s="135"/>
      <c r="E12" s="135"/>
      <c r="F12" s="135"/>
      <c r="G12" s="140" t="s">
        <v>351</v>
      </c>
      <c r="H12" s="140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9" t="str">
        <f>IF(H14&lt;&gt;0,(VLOOKUP(H14,Сотрудники!D:E,2,0)),0)</f>
        <v>Главный инженер объекта</v>
      </c>
      <c r="D14" s="139"/>
      <c r="E14" s="139"/>
      <c r="F14" s="139"/>
      <c r="G14" s="139"/>
      <c r="H14" s="88" t="s">
        <v>419</v>
      </c>
    </row>
    <row r="15" spans="1:8" s="74" customFormat="1" ht="21" x14ac:dyDescent="0.35">
      <c r="A15" s="75"/>
      <c r="B15" s="93"/>
      <c r="C15" s="135" t="s">
        <v>4</v>
      </c>
      <c r="D15" s="135"/>
      <c r="E15" s="135"/>
      <c r="F15" s="135"/>
      <c r="G15" s="136" t="s">
        <v>351</v>
      </c>
      <c r="H15" s="136"/>
    </row>
    <row r="16" spans="1:8" s="74" customFormat="1" ht="68.45" customHeight="1" x14ac:dyDescent="0.35">
      <c r="A16" s="86" t="s">
        <v>8</v>
      </c>
      <c r="B16" s="87"/>
      <c r="C16" s="139" t="str">
        <f>IF(H16&lt;&gt;0,(VLOOKUP(H16,Сотрудники!D:E,2,0)),0)</f>
        <v>Ведущий инженер</v>
      </c>
      <c r="D16" s="139"/>
      <c r="E16" s="139"/>
      <c r="F16" s="139"/>
      <c r="G16" s="139"/>
      <c r="H16" s="88" t="s">
        <v>417</v>
      </c>
    </row>
    <row r="17" spans="1:8" s="74" customFormat="1" ht="40.15" customHeight="1" x14ac:dyDescent="0.35">
      <c r="A17" s="75"/>
      <c r="B17" s="93"/>
      <c r="C17" s="135" t="s">
        <v>4</v>
      </c>
      <c r="D17" s="135"/>
      <c r="E17" s="135"/>
      <c r="F17" s="135"/>
      <c r="G17" s="136" t="s">
        <v>351</v>
      </c>
      <c r="H17" s="136"/>
    </row>
    <row r="18" spans="1:8" s="74" customFormat="1" ht="69.599999999999994" customHeight="1" x14ac:dyDescent="0.35">
      <c r="A18" s="75"/>
      <c r="B18" s="94"/>
      <c r="C18" s="139" t="str">
        <f>IF(H18&lt;&gt;0,(VLOOKUP(H18,Сотрудники!D:E,2,0)),0)</f>
        <v>Ведущий инженер</v>
      </c>
      <c r="D18" s="139"/>
      <c r="E18" s="139"/>
      <c r="F18" s="139"/>
      <c r="G18" s="139"/>
      <c r="H18" s="88" t="s">
        <v>418</v>
      </c>
    </row>
    <row r="19" spans="1:8" s="74" customFormat="1" ht="40.15" customHeight="1" x14ac:dyDescent="0.35">
      <c r="A19" s="75"/>
      <c r="B19" s="93"/>
      <c r="C19" s="135" t="s">
        <v>4</v>
      </c>
      <c r="D19" s="135"/>
      <c r="E19" s="135"/>
      <c r="F19" s="135"/>
      <c r="G19" s="136" t="s">
        <v>351</v>
      </c>
      <c r="H19" s="136"/>
    </row>
    <row r="20" spans="1:8" s="74" customFormat="1" ht="69.599999999999994" customHeight="1" x14ac:dyDescent="0.35">
      <c r="B20" s="93"/>
      <c r="C20" s="139" t="str">
        <f>IF(H20&lt;&gt;0,(VLOOKUP(H20,Сотрудники!D:E,2,0)),0)</f>
        <v>Главный специалист СБ</v>
      </c>
      <c r="D20" s="139"/>
      <c r="E20" s="139"/>
      <c r="F20" s="139"/>
      <c r="G20" s="139"/>
      <c r="H20" s="88" t="s">
        <v>420</v>
      </c>
    </row>
    <row r="21" spans="1:8" s="74" customFormat="1" ht="21" x14ac:dyDescent="0.35">
      <c r="B21" s="93"/>
      <c r="C21" s="135" t="s">
        <v>4</v>
      </c>
      <c r="D21" s="135"/>
      <c r="E21" s="135"/>
      <c r="F21" s="135"/>
      <c r="G21" s="136" t="s">
        <v>351</v>
      </c>
      <c r="H21" s="136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236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tr">
        <f>IF(B23&lt;&gt;0,(VLOOKUP(B23,'Объекты '!A:B,2,0)),0)</f>
        <v>Эксплуатация и ТО_7804Ф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286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377</v>
      </c>
      <c r="H28" s="114" t="s">
        <v>15</v>
      </c>
    </row>
    <row r="29" spans="1:8" s="126" customFormat="1" ht="81" customHeight="1" x14ac:dyDescent="0.25">
      <c r="A29" s="120">
        <v>1</v>
      </c>
      <c r="B29" s="142" t="s">
        <v>416</v>
      </c>
      <c r="C29" s="122"/>
      <c r="D29" s="123" t="s">
        <v>413</v>
      </c>
      <c r="E29" s="123">
        <v>30</v>
      </c>
      <c r="F29" s="124" t="s">
        <v>414</v>
      </c>
      <c r="G29" s="121" t="s">
        <v>421</v>
      </c>
      <c r="H29" s="125" t="s">
        <v>415</v>
      </c>
    </row>
    <row r="30" spans="1:8" s="126" customFormat="1" ht="2.25" customHeight="1" x14ac:dyDescent="0.25">
      <c r="A30" s="120"/>
      <c r="B30" s="121"/>
      <c r="C30" s="122"/>
      <c r="D30" s="123"/>
      <c r="E30" s="123"/>
      <c r="F30" s="124"/>
      <c r="G30" s="121"/>
      <c r="H30" s="125"/>
    </row>
    <row r="31" spans="1:8" s="126" customFormat="1" ht="21" hidden="1" x14ac:dyDescent="0.25">
      <c r="A31" s="120"/>
      <c r="B31" s="121"/>
      <c r="C31" s="122"/>
      <c r="D31" s="123"/>
      <c r="E31" s="123"/>
      <c r="F31" s="124"/>
      <c r="G31" s="121"/>
      <c r="H31" s="125"/>
    </row>
    <row r="32" spans="1:8" s="126" customFormat="1" ht="93.75" hidden="1" customHeight="1" x14ac:dyDescent="0.25">
      <c r="A32" s="120"/>
      <c r="B32" s="121"/>
      <c r="C32" s="122"/>
      <c r="D32" s="123"/>
      <c r="E32" s="123"/>
      <c r="F32" s="124"/>
      <c r="G32" s="121"/>
      <c r="H32" s="125"/>
    </row>
    <row r="33" spans="1:8" s="126" customFormat="1" ht="0.75" hidden="1" customHeight="1" x14ac:dyDescent="0.25">
      <c r="A33" s="120">
        <v>5</v>
      </c>
      <c r="B33" s="121"/>
      <c r="C33" s="122"/>
      <c r="D33" s="123"/>
      <c r="E33" s="123"/>
      <c r="F33" s="124"/>
      <c r="G33" s="121"/>
      <c r="H33" s="125"/>
    </row>
    <row r="34" spans="1:8" s="74" customFormat="1" ht="0.75" hidden="1" customHeight="1" x14ac:dyDescent="0.35">
      <c r="A34" s="130">
        <v>6</v>
      </c>
      <c r="B34" s="128"/>
      <c r="C34" s="128"/>
      <c r="D34" s="128"/>
      <c r="E34" s="128"/>
      <c r="F34" s="128"/>
      <c r="G34" s="129"/>
      <c r="H34" s="128"/>
    </row>
    <row r="35" spans="1:8" s="74" customFormat="1" ht="21" x14ac:dyDescent="0.35">
      <c r="A35" s="131"/>
      <c r="B35" s="132"/>
      <c r="C35" s="132"/>
      <c r="D35" s="132"/>
      <c r="E35" s="132"/>
      <c r="F35" s="132"/>
      <c r="G35" s="133"/>
      <c r="H35" s="132"/>
    </row>
    <row r="36" spans="1:8" s="74" customFormat="1" ht="21" x14ac:dyDescent="0.35">
      <c r="B36" s="127"/>
      <c r="C36" s="127"/>
      <c r="D36" s="127"/>
      <c r="E36" s="127"/>
      <c r="F36" s="127"/>
      <c r="G36" s="127"/>
      <c r="H36" s="127"/>
    </row>
    <row r="37" spans="1:8" s="74" customFormat="1" ht="33.6" customHeight="1" x14ac:dyDescent="0.35">
      <c r="A37" s="61"/>
      <c r="B37" s="62" t="s">
        <v>6</v>
      </c>
      <c r="C37" s="66"/>
      <c r="D37" s="66"/>
      <c r="E37" s="66"/>
      <c r="F37" s="66"/>
      <c r="G37" s="67"/>
      <c r="H37" s="59" t="str">
        <f>H14</f>
        <v>Королев Л.В.</v>
      </c>
    </row>
    <row r="38" spans="1:8" s="74" customFormat="1" ht="33.6" customHeight="1" x14ac:dyDescent="0.35">
      <c r="A38" s="61"/>
      <c r="B38" s="68"/>
      <c r="C38" s="69"/>
      <c r="D38" s="69"/>
      <c r="E38" s="69"/>
      <c r="F38" s="70"/>
      <c r="G38" s="141" t="s">
        <v>349</v>
      </c>
      <c r="H38" s="141"/>
    </row>
    <row r="39" spans="1:8" s="74" customFormat="1" ht="33.6" customHeight="1" x14ac:dyDescent="0.35">
      <c r="A39" s="61"/>
      <c r="B39" s="62" t="s">
        <v>8</v>
      </c>
      <c r="C39" s="66"/>
      <c r="D39" s="66"/>
      <c r="E39" s="66"/>
      <c r="F39" s="66"/>
      <c r="G39" s="67"/>
      <c r="H39" s="59" t="str">
        <f>H16</f>
        <v>Агеев В.А.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41" t="s">
        <v>349</v>
      </c>
      <c r="H40" s="141"/>
    </row>
    <row r="41" spans="1:8" s="74" customFormat="1" ht="33.6" customHeight="1" x14ac:dyDescent="0.35">
      <c r="A41" s="61"/>
      <c r="B41" s="65"/>
      <c r="C41" s="66"/>
      <c r="D41" s="66"/>
      <c r="E41" s="66"/>
      <c r="F41" s="66"/>
      <c r="G41" s="67"/>
      <c r="H41" s="59" t="str">
        <f>H18</f>
        <v>Линев А.В.</v>
      </c>
    </row>
    <row r="42" spans="1:8" s="74" customFormat="1" ht="33.6" customHeight="1" x14ac:dyDescent="0.35">
      <c r="A42" s="61"/>
      <c r="B42" s="64"/>
      <c r="C42" s="69"/>
      <c r="D42" s="69"/>
      <c r="E42" s="69"/>
      <c r="F42" s="70"/>
      <c r="G42" s="141" t="s">
        <v>349</v>
      </c>
      <c r="H42" s="141"/>
    </row>
    <row r="43" spans="1:8" s="74" customFormat="1" ht="33.6" customHeight="1" x14ac:dyDescent="0.35">
      <c r="A43" s="61"/>
      <c r="B43" s="64"/>
      <c r="C43" s="66"/>
      <c r="D43" s="66"/>
      <c r="E43" s="66"/>
      <c r="F43" s="66"/>
      <c r="G43" s="67"/>
      <c r="H43" s="59" t="str">
        <f>H20</f>
        <v>Николенко А.Ю.</v>
      </c>
    </row>
    <row r="44" spans="1:8" s="74" customFormat="1" ht="33.6" customHeight="1" x14ac:dyDescent="0.35">
      <c r="A44" s="61"/>
      <c r="B44" s="64"/>
      <c r="C44" s="69"/>
      <c r="D44" s="69"/>
      <c r="E44" s="69"/>
      <c r="F44" s="70"/>
      <c r="G44" s="141" t="s">
        <v>349</v>
      </c>
      <c r="H44" s="141"/>
    </row>
    <row r="45" spans="1:8" s="74" customFormat="1" ht="33.6" customHeight="1" x14ac:dyDescent="0.35">
      <c r="A45" s="61"/>
      <c r="B45" s="62" t="s">
        <v>3</v>
      </c>
      <c r="C45" s="66"/>
      <c r="D45" s="66"/>
      <c r="E45" s="66"/>
      <c r="F45" s="66"/>
      <c r="G45" s="67"/>
      <c r="H45" s="60" t="str">
        <f>H11</f>
        <v>Хабаров Д.Б.</v>
      </c>
    </row>
    <row r="46" spans="1:8" s="74" customFormat="1" ht="33.6" customHeight="1" x14ac:dyDescent="0.35">
      <c r="A46" s="61"/>
      <c r="B46" s="63"/>
      <c r="C46" s="69"/>
      <c r="D46" s="69"/>
      <c r="E46" s="69"/>
      <c r="F46" s="70"/>
      <c r="G46" s="141" t="s">
        <v>349</v>
      </c>
      <c r="H46" s="141"/>
    </row>
  </sheetData>
  <sheetProtection algorithmName="SHA-512" hashValue="rmmF1bPDBHo6bFUUqK7S7h4Hn67GD+0HTCIIgYVlNEddPdP7oevlY+MQYLvWh+7ZLcqbGeu3NA/yOVMFV0er/Q==" saltValue="4HQ3uB7W2o5nscPpacrlVg==" spinCount="100000" sheet="1" formatCells="0" formatColumns="0" formatRows="0" insertColumns="0" insertRows="0" insertHyperlinks="0" deleteColumns="0" deleteRows="0" sort="0" autoFilter="0" pivotTables="0"/>
  <dataConsolidate/>
  <mergeCells count="23">
    <mergeCell ref="G46:H46"/>
    <mergeCell ref="G38:H38"/>
    <mergeCell ref="G40:H40"/>
    <mergeCell ref="G42:H42"/>
    <mergeCell ref="G44:H44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73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408</v>
      </c>
      <c r="D58" s="47" t="s">
        <v>409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404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398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403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385</v>
      </c>
      <c r="D86" s="47" t="s">
        <v>385</v>
      </c>
      <c r="E86" s="56" t="s">
        <v>386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378</v>
      </c>
      <c r="D87" s="49" t="s">
        <v>379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400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400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398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387</v>
      </c>
      <c r="D112" s="47" t="s">
        <v>387</v>
      </c>
      <c r="E112" s="56" t="s">
        <v>388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410</v>
      </c>
      <c r="D113" s="47" t="s">
        <v>411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400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400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390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382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395</v>
      </c>
      <c r="D129" s="49" t="str">
        <f t="shared" si="4"/>
        <v>Христенко А.А.</v>
      </c>
      <c r="E129" s="56" t="s">
        <v>402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400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376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2025-11-27T10:11:48Z</cp:lastPrinted>
  <dcterms:created xsi:type="dcterms:W3CDTF">2025-01-29T06:40:08Z</dcterms:created>
  <dcterms:modified xsi:type="dcterms:W3CDTF">2025-11-27T10:14:29Z</dcterms:modified>
</cp:coreProperties>
</file>