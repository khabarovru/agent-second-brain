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<sst xmlns="http://schemas.openxmlformats.org/spreadsheetml/2006/main" count="754" uniqueCount="424">
  <si>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</si>
  <si>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</si>
  <si>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</si>
  <si>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</si>
  <si>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</si>
  <si>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</si>
  <si>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</si>
  <si>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</si>
  <si>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</si>
  <si>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</si>
  <si>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</si>
  <si>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</si>
  <si>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</si>
  <si>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</si>
  <si>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</si>
  <si>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</si>
  <si>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</si>
  <si>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</si>
  <si>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</si>
  <si>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</si>
  <si>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</si>
  <si>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</si>
  <si>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</si>
  <si>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</si>
  <si>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</si>
  <si>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</si>
  <si>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</si>
  <si>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</si>
  <si>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</si>
  <si>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</si>
  <si>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</si>
  <si>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</si>
  <si>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</si>
  <si>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</si>
  <si>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</si>
  <si>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</si>
  <si>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</si>
  <si>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</si>
  <si>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</si>
  <si>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</si>
  <si>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</si>
  <si>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</si>
  <si>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</si>
  <si>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</si>
  <si>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</si>
  <si>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</si>
  <si>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</si>
  <si>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</si>
  <si>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</si>
  <si>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</si>
  <si>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</si>
  <si>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</si>
  <si>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</si>
  <si>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</si>
  <si>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</si>
  <si>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</si>
  <si>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</si>
  <si>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</si>
  <si>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</si>
  <si>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</si>
  <si>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</si>
  <si>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</si>
  <si>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</si>
  <si>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</si>
  <si>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</si>
  <si>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</si>
  <si>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</si>
  <si>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</si>
  <si>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</si>
  <si>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</si>
  <si>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</si>
  <si>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</si>
  <si>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</si>
  <si>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</si>
  <si>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</si>
  <si>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</si>
  <si>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</si>
  <si>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</si>
  <si>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</si>
  <si>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</si>
  <si>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</si>
  <si>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</si>
  <si>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</si>
  <si>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</si>
  <si>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</si>
  <si>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</si>
  <si>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</si>
  <si>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</si>
  <si>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</si>
  <si>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</si>
  <si>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</si>
  <si>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</si>
  <si>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</si>
  <si>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</si>
  <si>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</si>
  <si>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</si>
  <si>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</si>
  <si>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</si>
  <si>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</si>
  <si>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</si>
  <si>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</si>
  <si>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</si>
  <si>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</si>
  <si>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</si>
  <si>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</si>
  <si>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</si>
  <si>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</si>
  <si>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</si>
  <si>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</si>
  <si>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</si>
  <si>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</si>
  <si>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</si>
  <si>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</si>
  <si>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</si>
  <si>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</si>
  <si>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</si>
  <si>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</si>
  <si>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</si>
  <si>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</si>
  <si>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</si>
  <si>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</si>
  <si>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</si>
  <si>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</si>
  <si>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</si>
  <si>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</si>
  <si>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</si>
  <si>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</si>
  <si>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</si>
  <si>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</si>
  <si>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</si>
  <si>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</si>
  <si>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</si>
  <si>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</si>
  <si>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</si>
  <si>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</si>
  <si>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</si>
  <si>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</si>
  <si>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</si>
  <si>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</si>
  <si>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</si>
  <si>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</si>
  <si>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</si>
  <si>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</si>
  <si>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</si>
  <si>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</si>
  <si>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</si>
  <si>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</si>
  <si>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</si>
  <si>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</si>
  <si>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</si>
  <si>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</si>
  <si>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</si>
  <si>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</si>
  <si>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</si>
  <si>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</si>
  <si>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</si>
  <si>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</si>
  <si>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</si>
  <si>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</si>
  <si>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</si>
  <si>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</si>
  <si>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</si>
  <si>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</si>
  <si>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</si>
  <si>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</si>
  <si>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</si>
  <si>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</si>
  <si>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</si>
  <si>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</si>
  <si>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</si>
  <si>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</si>
  <si>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</si>
  <si>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</si>
  <si>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</si>
  <si>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</si>
  <si>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</si>
  <si>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</si>
  <si>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</si>
  <si>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</si>
  <si>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</si>
  <si>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</si>
  <si>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</si>
  <si>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</si>
  <si>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</si>
  <si>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</si>
  <si>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</si>
  <si>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</si>
  <si>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</si>
  <si>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</si>
  <si>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</si>
  <si>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</si>
  <si>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</si>
  <si>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</si>
  <si>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</si>
  <si>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</si>
  <si>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</si>
  <si>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</si>
  <si>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</si>
  <si>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</si>
  <si>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</si>
  <si>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</si>
  <si>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</si>
  <si>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</si>
  <si>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</si>
  <si>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</si>
  <si>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</si>
  <si>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</si>
  <si>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</si>
  <si>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</si>
  <si>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</si>
  <si>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</si>
  <si>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</si>
  <si>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</si>
  <si>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</si>
  <si>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</si>
  <si>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</si>
  <si>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</si>
  <si>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</si>
  <si>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</si>
  <si>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</si>
  <si>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</si>
  <si>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</si>
  <si>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</si>
  <si>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</si>
  <si>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</si>
  <si>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</si>
  <si>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</si>
  <si>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</si>
  <si>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</si>
  <si>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</si>
  <si>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</si>
  <si>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</si>
  <si>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</si>
  <si>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</si>
  <si>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</si>
  <si>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</si>
  <si>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</si>
  <si>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</si>
  <si>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</si>
  <si>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</si>
  <si>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</si>
  <si>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</si>
  <si>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</si>
  <si>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</si>
  <si>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</si>
  <si>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</si>
  <si>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</si>
  <si>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</si>
  <si>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</si>
  <si>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</si>
  <si>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</si>
  <si>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</si>
  <si>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</si>
  <si>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</si>
  <si>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</si>
  <si>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</si>
  <si>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</si>
  <si>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</si>
  <si>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</si>
  <si>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</si>
  <si>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</si>
  <si>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</si>
  <si>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</si>
  <si>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</si>
  <si>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</si>
  <si>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</si>
  <si>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</si>
  <si>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</si>
  <si>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</si>
  <si>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</si>
  <si>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</si>
  <si>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</si>
  <si>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</si>
  <si>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</si>
  <si>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</si>
  <si>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</si>
  <si>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</si>
  <si>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</si>
  <si>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</si>
  <si>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</si>
  <si>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</si>
  <si>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</si>
  <si>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</si>
  <si>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</si>
  <si>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</si>
  <si>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</si>
  <si>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</si>
  <si>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</si>
  <si>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</si>
  <si>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</si>
  <si>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</si>
  <si>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</si>
  <si>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</si>
  <si>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</si>
  <si>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</si>
  <si>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</si>
  <si>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</si>
  <si>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</si>
  <si>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</si>
  <si>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</si>
  <si>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</si>
  <si>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</si>
  <si>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</si>
  <si>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</si>
  <si>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</si>
  <si>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</si>
  <si>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</si>
  <si>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</si>
  <si>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</si>
  <si>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</si>
  <si>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</si>
  <si>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</si>
  <si>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</si>
  <si>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</si>
  <si>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</si>
  <si>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</si>
  <si>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</si>
  <si>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</si>
  <si>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</si>
  <si>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</si>
  <si>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</si>
  <si>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</si>
  <si>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</si>
  <si>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</si>
  <si>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</si>
  <si>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</si>
  <si>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</si>
  <si>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</si>
  <si>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</si>
  <si>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</si>
  <si>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</si>
  <si>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</si>
  <si>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</si>
  <si>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</si>
  <si>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</si>
  <si>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</si>
  <si>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</si>
  <si>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</si>
  <si>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</si>
  <si>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</si>
  <si>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</si>
  <si>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</si>
  <si>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</si>
  <si>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</si>
  <si>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</si>
  <si>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</si>
  <si>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</si>
  <si>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</si>
  <si>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</si>
  <si>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</si>
  <si>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</si>
  <si>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</si>
  <si>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</si>
  <si>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</si>
  <si>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</si>
  <si>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</si>
  <si>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</si>
  <si>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</si>
  <si>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</si>
  <si>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</si>
  <si>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</si>
  <si>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</si>
  <si>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</si>
  <si>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</si>
  <si>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</si>
  <si>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</si>
  <si>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</si>
  <si>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</si>
  <si>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</si>
  <si>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</si>
  <si>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</si>
  <si>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</si>
  <si>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</si>
  <si>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</si>
  <si>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</si>
  <si>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</si>
  <si>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</si>
  <si>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</si>
  <si>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</si>
  <si>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</si>
  <si>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</si>
  <si>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</si>
  <si>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</si>
  <si>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</si>
  <si>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</si>
  <si>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</si>
  <si>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</si>
  <si>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</si>
  <si>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</si>
  <si>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</si>
  <si>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</si>
  <si>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</si>
  <si>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</si>
  <si>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</si>
  <si>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</si>
  <si>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</si>
  <si>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</si>
  <si>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</si>
  <si>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</si>
  <si>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</si>
  <si>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</si>
  <si>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</si>
  <si>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</si>
  <si>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</si>
  <si>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</si>
  <si>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</si>
  <si>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</si>
  <si>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</si>
  <si>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</si>
  <si>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</si>
  <si>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</si>
  <si>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</si>
  <si>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Хабаров Д.Б.</t>
  </si>
  <si>
    <t>Боровик Г.В.</t>
  </si>
  <si>
    <t>Преобразователь напряжения 4,5В-32В в 1,25В-37В (15Вт макс) с дисплеем</t>
  </si>
  <si>
    <t>шт</t>
  </si>
  <si>
    <t xml:space="preserve">2204003 Материалы для ТО и ТР лифтов и эскалаторов </t>
  </si>
  <si>
    <t>Заявка на обеспечение II00-0000932 от 06.08.2025</t>
  </si>
  <si>
    <t>Техническое обслуживание лифтового оборудования</t>
  </si>
  <si>
    <t>Тросик ДШ L=1070мм d=1,5мм с крючком под пружину</t>
  </si>
  <si>
    <t>Тросик синхронизации дверей L=2470мм D=2мм шпилька М6 OTIS</t>
  </si>
  <si>
    <t>Агеев В.А.</t>
  </si>
  <si>
    <t>Линев А.В.</t>
  </si>
  <si>
    <t>Летов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</si>
</sst>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2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9" zoomScale="85" zoomScaleNormal="85" zoomScaleSheetLayoutView="115" workbookViewId="0">
      <selection activeCell="B23" sqref="B23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4" t="s">
        <v>364</v>
      </c>
      <c r="B1" s="134"/>
      <c r="C1" s="134"/>
      <c r="D1" s="134"/>
      <c r="E1" s="134"/>
      <c r="F1" s="134"/>
      <c r="G1" s="134"/>
      <c r="H1" s="134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7" t="s">
        <v>375</v>
      </c>
      <c r="C7" s="137"/>
      <c r="D7" s="137"/>
      <c r="E7" s="137"/>
      <c r="F7" s="137"/>
      <c r="G7" s="137"/>
      <c r="H7" s="137"/>
    </row>
    <row r="8" spans="1:8" s="74" customFormat="1" ht="21" x14ac:dyDescent="0.35">
      <c r="A8" s="75"/>
      <c r="B8" s="138">
        <f ca="1">NOW()+0</f>
        <v>45988.545210069446</v>
      </c>
      <c r="C8" s="138"/>
      <c r="D8" s="138"/>
      <c r="E8" s="138"/>
      <c r="F8" s="138"/>
      <c r="G8" s="138"/>
      <c r="H8" s="138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9" t="str">
        <f>IF(H11&lt;&gt;0,(VLOOKUP(H11,Сотрудники!D:E,2,0)),0)</f>
        <v>Руководитель группы</v>
      </c>
      <c r="D11" s="139"/>
      <c r="E11" s="139"/>
      <c r="F11" s="139"/>
      <c r="G11" s="139"/>
      <c r="H11" s="88" t="s">
        <v>412</v>
      </c>
    </row>
    <row r="12" spans="1:8" s="74" customFormat="1" ht="21" x14ac:dyDescent="0.35">
      <c r="A12" s="89"/>
      <c r="B12" s="89"/>
      <c r="C12" s="135" t="s">
        <v>4</v>
      </c>
      <c r="D12" s="135"/>
      <c r="E12" s="135"/>
      <c r="F12" s="135"/>
      <c r="G12" s="140" t="s">
        <v>351</v>
      </c>
      <c r="H12" s="140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9" t="str">
        <f>IF(H14&lt;&gt;0,(VLOOKUP(H14,Сотрудники!D:E,2,0)),0)</f>
        <v>Ведущий инженер</v>
      </c>
      <c r="D14" s="139"/>
      <c r="E14" s="139"/>
      <c r="F14" s="139"/>
      <c r="G14" s="139"/>
      <c r="H14" s="88" t="s">
        <v>413</v>
      </c>
    </row>
    <row r="15" spans="1:8" s="74" customFormat="1" ht="21" x14ac:dyDescent="0.35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5" customHeight="1" x14ac:dyDescent="0.35">
      <c r="A16" s="86" t="s">
        <v>8</v>
      </c>
      <c r="B16" s="87"/>
      <c r="C16" s="139" t="str">
        <f>IF(H16&lt;&gt;0,(VLOOKUP(H16,Сотрудники!D:E,2,0)),0)</f>
        <v>Ведущий инженер</v>
      </c>
      <c r="D16" s="139"/>
      <c r="E16" s="139"/>
      <c r="F16" s="139"/>
      <c r="G16" s="139"/>
      <c r="H16" s="88" t="s">
        <v>421</v>
      </c>
    </row>
    <row r="17" spans="1:8" s="74" customFormat="1" ht="40.15" customHeight="1" x14ac:dyDescent="0.35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35">
      <c r="A18" s="75"/>
      <c r="B18" s="94"/>
      <c r="C18" s="139" t="str">
        <f>IF(H18&lt;&gt;0,(VLOOKUP(H18,Сотрудники!D:E,2,0)),0)</f>
        <v>Ведущий инженер</v>
      </c>
      <c r="D18" s="139"/>
      <c r="E18" s="139"/>
      <c r="F18" s="139"/>
      <c r="G18" s="139"/>
      <c r="H18" s="88" t="s">
        <v>422</v>
      </c>
    </row>
    <row r="19" spans="1:8" s="74" customFormat="1" ht="40.15" customHeight="1" x14ac:dyDescent="0.35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35">
      <c r="B20" s="93"/>
      <c r="C20" s="139" t="str">
        <f>IF(H20&lt;&gt;0,(VLOOKUP(H20,Сотрудники!D:E,2,0)),0)</f>
        <v>Главный специалист СБ</v>
      </c>
      <c r="D20" s="139"/>
      <c r="E20" s="139"/>
      <c r="F20" s="139"/>
      <c r="G20" s="139"/>
      <c r="H20" s="88" t="s">
        <v>423</v>
      </c>
    </row>
    <row r="21" spans="1:8" s="74" customFormat="1" ht="21" x14ac:dyDescent="0.35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251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tr">
        <f>IF(B23&lt;&gt;0,(VLOOKUP(B23,'Объекты '!A:B,2,0)),0)</f>
        <v>Эксплуатация и ТО_7807ДДУУК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84" x14ac:dyDescent="0.25">
      <c r="A29" s="120">
        <v>1</v>
      </c>
      <c r="B29" s="121" t="s">
        <v>414</v>
      </c>
      <c r="C29" s="122"/>
      <c r="D29" s="123" t="s">
        <v>415</v>
      </c>
      <c r="E29" s="123">
        <v>15</v>
      </c>
      <c r="F29" s="124" t="s">
        <v>416</v>
      </c>
      <c r="G29" s="121" t="s">
        <v>417</v>
      </c>
      <c r="H29" s="125" t="s">
        <v>418</v>
      </c>
    </row>
    <row r="30" spans="1:8" s="126" customFormat="1" ht="84" x14ac:dyDescent="0.25">
      <c r="A30" s="120">
        <v>2</v>
      </c>
      <c r="B30" s="121" t="s">
        <v>419</v>
      </c>
      <c r="C30" s="122"/>
      <c r="D30" s="123" t="s">
        <v>415</v>
      </c>
      <c r="E30" s="123">
        <v>30</v>
      </c>
      <c r="F30" s="124" t="s">
        <v>416</v>
      </c>
      <c r="G30" s="121" t="s">
        <v>417</v>
      </c>
      <c r="H30" s="125" t="s">
        <v>418</v>
      </c>
    </row>
    <row r="31" spans="1:8" s="126" customFormat="1" ht="84" x14ac:dyDescent="0.25">
      <c r="A31" s="120">
        <v>3</v>
      </c>
      <c r="B31" s="121" t="s">
        <v>420</v>
      </c>
      <c r="C31" s="122"/>
      <c r="D31" s="123" t="s">
        <v>415</v>
      </c>
      <c r="E31" s="123">
        <v>10</v>
      </c>
      <c r="F31" s="124" t="s">
        <v>416</v>
      </c>
      <c r="G31" s="121" t="s">
        <v>417</v>
      </c>
      <c r="H31" s="125" t="s">
        <v>418</v>
      </c>
    </row>
    <row r="32" spans="1:8" s="126" customFormat="1" ht="93.75" customHeight="1" x14ac:dyDescent="0.25">
      <c r="A32" s="120">
        <v>4</v>
      </c>
      <c r="B32" s="121" t="s">
        <v>420</v>
      </c>
      <c r="C32" s="122"/>
      <c r="D32" s="123" t="s">
        <v>415</v>
      </c>
      <c r="E32" s="123">
        <v>20</v>
      </c>
      <c r="F32" s="124" t="s">
        <v>416</v>
      </c>
      <c r="G32" s="121" t="s">
        <v>417</v>
      </c>
      <c r="H32" s="125" t="s">
        <v>418</v>
      </c>
    </row>
    <row r="33" spans="1:8" s="126" customFormat="1" ht="21" x14ac:dyDescent="0.25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21" x14ac:dyDescent="0.35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35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35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35">
      <c r="A37" s="61"/>
      <c r="B37" s="62" t="s">
        <v>6</v>
      </c>
      <c r="C37" s="66"/>
      <c r="D37" s="66"/>
      <c r="E37" s="66"/>
      <c r="F37" s="66"/>
      <c r="G37" s="67"/>
      <c r="H37" s="59" t="str">
        <f>H14</f>
        <v>Боровик Г.В.</v>
      </c>
    </row>
    <row r="38" spans="1:8" s="74" customFormat="1" ht="33.6" customHeight="1" x14ac:dyDescent="0.35">
      <c r="A38" s="61"/>
      <c r="B38" s="68"/>
      <c r="C38" s="69"/>
      <c r="D38" s="69"/>
      <c r="E38" s="69"/>
      <c r="F38" s="70"/>
      <c r="G38" s="141" t="s">
        <v>349</v>
      </c>
      <c r="H38" s="141"/>
    </row>
    <row r="39" spans="1:8" s="74" customFormat="1" ht="33.6" customHeight="1" x14ac:dyDescent="0.35">
      <c r="A39" s="61"/>
      <c r="B39" s="62" t="s">
        <v>8</v>
      </c>
      <c r="C39" s="66"/>
      <c r="D39" s="66"/>
      <c r="E39" s="66"/>
      <c r="F39" s="66"/>
      <c r="G39" s="67"/>
      <c r="H39" s="59" t="str">
        <f>H16</f>
        <v>Агеев В.А.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41" t="s">
        <v>349</v>
      </c>
      <c r="H40" s="141"/>
    </row>
    <row r="41" spans="1:8" s="74" customFormat="1" ht="33.6" customHeight="1" x14ac:dyDescent="0.35">
      <c r="A41" s="61"/>
      <c r="B41" s="65"/>
      <c r="C41" s="66"/>
      <c r="D41" s="66"/>
      <c r="E41" s="66"/>
      <c r="F41" s="66"/>
      <c r="G41" s="67"/>
      <c r="H41" s="59" t="str">
        <f>H18</f>
        <v>Линев А.В.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41" t="s">
        <v>349</v>
      </c>
      <c r="H42" s="141"/>
    </row>
    <row r="43" spans="1:8" s="74" customFormat="1" ht="33.6" customHeight="1" x14ac:dyDescent="0.35">
      <c r="A43" s="61"/>
      <c r="B43" s="64"/>
      <c r="C43" s="66"/>
      <c r="D43" s="66"/>
      <c r="E43" s="66"/>
      <c r="F43" s="66"/>
      <c r="G43" s="67"/>
      <c r="H43" s="59" t="str">
        <f>H20</f>
        <v>Летов А.К.</v>
      </c>
    </row>
    <row r="44" spans="1:8" s="74" customFormat="1" ht="33.6" customHeight="1" x14ac:dyDescent="0.35">
      <c r="A44" s="61"/>
      <c r="B44" s="64"/>
      <c r="C44" s="69"/>
      <c r="D44" s="69"/>
      <c r="E44" s="69"/>
      <c r="F44" s="70"/>
      <c r="G44" s="141" t="s">
        <v>349</v>
      </c>
      <c r="H44" s="141"/>
    </row>
    <row r="45" spans="1:8" s="74" customFormat="1" ht="33.6" customHeight="1" x14ac:dyDescent="0.35">
      <c r="A45" s="61"/>
      <c r="B45" s="62" t="s">
        <v>3</v>
      </c>
      <c r="C45" s="66"/>
      <c r="D45" s="66"/>
      <c r="E45" s="66"/>
      <c r="F45" s="66"/>
      <c r="G45" s="67"/>
      <c r="H45" s="60" t="str">
        <f>H11</f>
        <v>Хабаров Д.Б.</v>
      </c>
    </row>
    <row r="46" spans="1:8" s="74" customFormat="1" ht="33.6" customHeight="1" x14ac:dyDescent="0.35">
      <c r="A46" s="61"/>
      <c r="B46" s="63"/>
      <c r="C46" s="69"/>
      <c r="D46" s="69"/>
      <c r="E46" s="69"/>
      <c r="F46" s="70"/>
      <c r="G46" s="141" t="s">
        <v>349</v>
      </c>
      <c r="H46" s="141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G46:H46"/>
    <mergeCell ref="G38:H38"/>
    <mergeCell ref="G40:H40"/>
    <mergeCell ref="G42:H42"/>
    <mergeCell ref="G44:H44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2025-11-27T10:05:54Z</dcterms:modified>
</cp:coreProperties>
</file>