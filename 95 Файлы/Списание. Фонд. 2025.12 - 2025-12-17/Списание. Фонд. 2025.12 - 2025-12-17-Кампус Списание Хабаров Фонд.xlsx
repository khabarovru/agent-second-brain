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писание. Фонд. 2025.12 - 2025-12-17\"/>
    </mc:Choice>
  </mc:AlternateContent>
  <bookViews>
    <workbookView xWindow="0" yWindow="0" windowWidth="13980" windowHeight="11685" tabRatio="695"/>
  </bookViews>
  <sheets>
    <sheet name="Прилож. к АКТУ" sheetId="9" r:id="rId1"/>
    <sheet name="Объекты " sheetId="7" state="hidden" r:id="rId2"/>
    <sheet name="Сотрудники" sheetId="10" state="hidden" r:id="rId3"/>
    <sheet name="Должности" sheetId="6" state="hidden" r:id="rId4"/>
  </sheets>
  <externalReferences>
    <externalReference r:id="rId5"/>
    <externalReference r:id="rId6"/>
    <externalReference r:id="rId7"/>
  </externalReferences>
  <definedNames>
    <definedName name="_12.01.2024" localSheetId="0">#REF!</definedName>
    <definedName name="_12.01.2024" localSheetId="2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'!$A$1:$D$35</definedName>
    <definedName name="_xlnm._FilterDatabase" localSheetId="2" hidden="1">Сотрудники!$A$1:$T$1</definedName>
    <definedName name="II00_0000006" localSheetId="0">#REF!</definedName>
    <definedName name="II00_0000006" localSheetId="2">#REF!</definedName>
    <definedName name="II00_0000006">#REF!</definedName>
    <definedName name="II00_0000007" localSheetId="0">#REF!</definedName>
    <definedName name="II00_0000007" localSheetId="2">#REF!</definedName>
    <definedName name="II00_0000007">#REF!</definedName>
    <definedName name="II00_0000027" localSheetId="0">#REF!</definedName>
    <definedName name="II00_0000027" localSheetId="2">#REF!</definedName>
    <definedName name="II00_0000027">#REF!</definedName>
    <definedName name="II00_0000028" localSheetId="0">#REF!</definedName>
    <definedName name="II00_0000028" localSheetId="2">#REF!</definedName>
    <definedName name="II00_0000028">#REF!</definedName>
    <definedName name="II00_0000029" localSheetId="0">#REF!</definedName>
    <definedName name="II00_0000029" localSheetId="2">#REF!</definedName>
    <definedName name="II00_0000029">#REF!</definedName>
    <definedName name="II00_0000030" localSheetId="0">#REF!</definedName>
    <definedName name="II00_0000030" localSheetId="2">#REF!</definedName>
    <definedName name="II00_0000030">#REF!</definedName>
    <definedName name="II00_0000033" localSheetId="0">#REF!</definedName>
    <definedName name="II00_0000033" localSheetId="2">#REF!</definedName>
    <definedName name="II00_0000033">#REF!</definedName>
    <definedName name="II00_0000035" localSheetId="0">#REF!</definedName>
    <definedName name="II00_0000035" localSheetId="2">#REF!</definedName>
    <definedName name="II00_0000035">#REF!</definedName>
    <definedName name="II00_0000036" localSheetId="0">#REF!</definedName>
    <definedName name="II00_0000036" localSheetId="2">#REF!</definedName>
    <definedName name="II00_0000036">#REF!</definedName>
    <definedName name="II00_0000041" localSheetId="0">#REF!</definedName>
    <definedName name="II00_0000041" localSheetId="2">#REF!</definedName>
    <definedName name="II00_0000041">#REF!</definedName>
    <definedName name="II00_0000043" localSheetId="0">#REF!</definedName>
    <definedName name="II00_0000043" localSheetId="2">#REF!</definedName>
    <definedName name="II00_0000043">#REF!</definedName>
    <definedName name="II00_0000045" localSheetId="0">#REF!</definedName>
    <definedName name="II00_0000045" localSheetId="2">#REF!</definedName>
    <definedName name="II00_0000045">#REF!</definedName>
    <definedName name="II00_0000046" localSheetId="0">#REF!</definedName>
    <definedName name="II00_0000046" localSheetId="2">#REF!</definedName>
    <definedName name="II00_0000046">#REF!</definedName>
    <definedName name="II00_0000047" localSheetId="0">#REF!</definedName>
    <definedName name="II00_0000047" localSheetId="2">#REF!</definedName>
    <definedName name="II00_0000047">#REF!</definedName>
    <definedName name="II00_0000048" localSheetId="0">#REF!</definedName>
    <definedName name="II00_0000048" localSheetId="2">#REF!</definedName>
    <definedName name="II00_0000048">#REF!</definedName>
    <definedName name="II00_0000049" localSheetId="0">#REF!</definedName>
    <definedName name="II00_0000049" localSheetId="2">#REF!</definedName>
    <definedName name="II00_0000049">#REF!</definedName>
    <definedName name="II00_0000050" localSheetId="0">#REF!</definedName>
    <definedName name="II00_0000050" localSheetId="2">#REF!</definedName>
    <definedName name="II00_0000050">#REF!</definedName>
    <definedName name="II00_0000052" localSheetId="0">#REF!</definedName>
    <definedName name="II00_0000052" localSheetId="2">#REF!</definedName>
    <definedName name="II00_0000052">#REF!</definedName>
    <definedName name="II00_0000053" localSheetId="0">#REF!</definedName>
    <definedName name="II00_0000053" localSheetId="2">#REF!</definedName>
    <definedName name="II00_0000053">#REF!</definedName>
    <definedName name="II00_0000056" localSheetId="0">#REF!</definedName>
    <definedName name="II00_0000056" localSheetId="2">#REF!</definedName>
    <definedName name="II00_0000056">#REF!</definedName>
    <definedName name="II00_0000057" localSheetId="0">#REF!</definedName>
    <definedName name="II00_0000057" localSheetId="2">#REF!</definedName>
    <definedName name="II00_0000057">#REF!</definedName>
    <definedName name="II00_0000059" localSheetId="0">#REF!</definedName>
    <definedName name="II00_0000059" localSheetId="2">#REF!</definedName>
    <definedName name="II00_0000059">#REF!</definedName>
    <definedName name="II00_0000063" localSheetId="0">#REF!</definedName>
    <definedName name="II00_0000063" localSheetId="2">#REF!</definedName>
    <definedName name="II00_0000063">#REF!</definedName>
    <definedName name="II00_0000064" localSheetId="0">#REF!</definedName>
    <definedName name="II00_0000064" localSheetId="2">#REF!</definedName>
    <definedName name="II00_0000064">#REF!</definedName>
    <definedName name="II00_0000067" localSheetId="0">#REF!</definedName>
    <definedName name="II00_0000067" localSheetId="2">#REF!</definedName>
    <definedName name="II00_0000067">#REF!</definedName>
    <definedName name="II00_0000068" localSheetId="0">#REF!</definedName>
    <definedName name="II00_0000068" localSheetId="2">#REF!</definedName>
    <definedName name="II00_0000068">#REF!</definedName>
    <definedName name="II00_0000074" localSheetId="0">#REF!</definedName>
    <definedName name="II00_0000074" localSheetId="2">#REF!</definedName>
    <definedName name="II00_0000074">#REF!</definedName>
    <definedName name="II00_0000076" localSheetId="0">#REF!</definedName>
    <definedName name="II00_0000076" localSheetId="2">#REF!</definedName>
    <definedName name="II00_0000076">#REF!</definedName>
    <definedName name="II00_0000078" localSheetId="0">#REF!</definedName>
    <definedName name="II00_0000078" localSheetId="2">#REF!</definedName>
    <definedName name="II00_0000078">#REF!</definedName>
    <definedName name="II00_0000080" localSheetId="0">#REF!</definedName>
    <definedName name="II00_0000080" localSheetId="2">#REF!</definedName>
    <definedName name="II00_0000080">#REF!</definedName>
    <definedName name="II00_0000084" localSheetId="0">#REF!</definedName>
    <definedName name="II00_0000084" localSheetId="2">#REF!</definedName>
    <definedName name="II00_0000084">#REF!</definedName>
    <definedName name="II00_0000087" localSheetId="0">#REF!</definedName>
    <definedName name="II00_0000087" localSheetId="2">#REF!</definedName>
    <definedName name="II00_0000087">#REF!</definedName>
    <definedName name="II00_0000091" localSheetId="0">#REF!</definedName>
    <definedName name="II00_0000091" localSheetId="2">#REF!</definedName>
    <definedName name="II00_0000091">#REF!</definedName>
    <definedName name="II00_0000095" localSheetId="0">#REF!</definedName>
    <definedName name="II00_0000095" localSheetId="2">#REF!</definedName>
    <definedName name="II00_0000095">#REF!</definedName>
    <definedName name="II00_0000097" localSheetId="0">#REF!</definedName>
    <definedName name="II00_0000097" localSheetId="2">#REF!</definedName>
    <definedName name="II00_0000097">#REF!</definedName>
    <definedName name="II00_0000100" localSheetId="0">#REF!</definedName>
    <definedName name="II00_0000100" localSheetId="2">#REF!</definedName>
    <definedName name="II00_0000100">#REF!</definedName>
    <definedName name="II00_0000109" localSheetId="0">#REF!</definedName>
    <definedName name="II00_0000109" localSheetId="2">#REF!</definedName>
    <definedName name="II00_0000109">#REF!</definedName>
    <definedName name="II00_0000110" localSheetId="0">#REF!</definedName>
    <definedName name="II00_0000110" localSheetId="2">#REF!</definedName>
    <definedName name="II00_0000110">#REF!</definedName>
    <definedName name="II00_0000112" localSheetId="0">#REF!</definedName>
    <definedName name="II00_0000112" localSheetId="2">#REF!</definedName>
    <definedName name="II00_0000112">#REF!</definedName>
    <definedName name="II00_0000113" localSheetId="0">#REF!</definedName>
    <definedName name="II00_0000113" localSheetId="2">#REF!</definedName>
    <definedName name="II00_0000113">#REF!</definedName>
    <definedName name="II00_0000115" localSheetId="0">#REF!</definedName>
    <definedName name="II00_0000115" localSheetId="2">#REF!</definedName>
    <definedName name="II00_0000115">#REF!</definedName>
    <definedName name="II00_0000117" localSheetId="0">#REF!</definedName>
    <definedName name="II00_0000117" localSheetId="2">#REF!</definedName>
    <definedName name="II00_0000117">#REF!</definedName>
    <definedName name="II00_0000118" localSheetId="0">#REF!</definedName>
    <definedName name="II00_0000118" localSheetId="2">#REF!</definedName>
    <definedName name="II00_0000118">#REF!</definedName>
    <definedName name="II00_0000119" localSheetId="0">#REF!</definedName>
    <definedName name="II00_0000119" localSheetId="2">#REF!</definedName>
    <definedName name="II00_0000119">#REF!</definedName>
    <definedName name="II00_0000120" localSheetId="0">#REF!</definedName>
    <definedName name="II00_0000120" localSheetId="2">#REF!</definedName>
    <definedName name="II00_0000120">#REF!</definedName>
    <definedName name="II00_0000121" localSheetId="0">#REF!</definedName>
    <definedName name="II00_0000121" localSheetId="2">#REF!</definedName>
    <definedName name="II00_0000121">#REF!</definedName>
    <definedName name="II00_0000122" localSheetId="0">#REF!</definedName>
    <definedName name="II00_0000122" localSheetId="2">#REF!</definedName>
    <definedName name="II00_0000122">#REF!</definedName>
    <definedName name="II00_0000126" localSheetId="0">#REF!</definedName>
    <definedName name="II00_0000126" localSheetId="2">#REF!</definedName>
    <definedName name="II00_0000126">#REF!</definedName>
    <definedName name="II00_0000128" localSheetId="0">#REF!</definedName>
    <definedName name="II00_0000128" localSheetId="2">#REF!</definedName>
    <definedName name="II00_0000128">#REF!</definedName>
    <definedName name="II00_0000129" localSheetId="0">#REF!</definedName>
    <definedName name="II00_0000129" localSheetId="2">#REF!</definedName>
    <definedName name="II00_0000129">#REF!</definedName>
    <definedName name="II00_0000130" localSheetId="0">#REF!</definedName>
    <definedName name="II00_0000130" localSheetId="2">#REF!</definedName>
    <definedName name="II00_0000130">#REF!</definedName>
    <definedName name="II00_0000135" localSheetId="0">#REF!</definedName>
    <definedName name="II00_0000135" localSheetId="2">#REF!</definedName>
    <definedName name="II00_0000135">#REF!</definedName>
    <definedName name="II00_0000138" localSheetId="0">#REF!</definedName>
    <definedName name="II00_0000138" localSheetId="2">#REF!</definedName>
    <definedName name="II00_0000138">#REF!</definedName>
    <definedName name="II00_0000140" localSheetId="0">#REF!</definedName>
    <definedName name="II00_0000140" localSheetId="2">#REF!</definedName>
    <definedName name="II00_0000140">#REF!</definedName>
    <definedName name="II00_0000143" localSheetId="0">#REF!</definedName>
    <definedName name="II00_0000143" localSheetId="2">#REF!</definedName>
    <definedName name="II00_0000143">#REF!</definedName>
    <definedName name="II00_0000145" localSheetId="0">#REF!</definedName>
    <definedName name="II00_0000145" localSheetId="2">#REF!</definedName>
    <definedName name="II00_0000145">#REF!</definedName>
    <definedName name="II00_0000146" localSheetId="0">#REF!</definedName>
    <definedName name="II00_0000146" localSheetId="2">#REF!</definedName>
    <definedName name="II00_0000146">#REF!</definedName>
    <definedName name="II00_0000147" localSheetId="0">#REF!</definedName>
    <definedName name="II00_0000147" localSheetId="2">#REF!</definedName>
    <definedName name="II00_0000147">#REF!</definedName>
    <definedName name="II00_0000150" localSheetId="0">#REF!</definedName>
    <definedName name="II00_0000150" localSheetId="2">#REF!</definedName>
    <definedName name="II00_0000150">#REF!</definedName>
    <definedName name="II00_0000151" localSheetId="0">#REF!</definedName>
    <definedName name="II00_0000151" localSheetId="2">#REF!</definedName>
    <definedName name="II00_0000151">#REF!</definedName>
    <definedName name="II00_0000156" localSheetId="0">#REF!</definedName>
    <definedName name="II00_0000156" localSheetId="2">#REF!</definedName>
    <definedName name="II00_0000156">#REF!</definedName>
    <definedName name="II00_0000158" localSheetId="0">#REF!</definedName>
    <definedName name="II00_0000158" localSheetId="2">#REF!</definedName>
    <definedName name="II00_0000158">#REF!</definedName>
    <definedName name="II00_0000160" localSheetId="0">#REF!</definedName>
    <definedName name="II00_0000160" localSheetId="2">#REF!</definedName>
    <definedName name="II00_0000160">#REF!</definedName>
    <definedName name="II00_0000165" localSheetId="0">#REF!</definedName>
    <definedName name="II00_0000165" localSheetId="2">#REF!</definedName>
    <definedName name="II00_0000165">#REF!</definedName>
    <definedName name="II00_0000166" localSheetId="0">#REF!</definedName>
    <definedName name="II00_0000166" localSheetId="2">#REF!</definedName>
    <definedName name="II00_0000166">#REF!</definedName>
    <definedName name="II00_0000167" localSheetId="0">#REF!</definedName>
    <definedName name="II00_0000167" localSheetId="2">#REF!</definedName>
    <definedName name="II00_0000167">#REF!</definedName>
    <definedName name="II00_0000168" localSheetId="0">#REF!</definedName>
    <definedName name="II00_0000168" localSheetId="2">#REF!</definedName>
    <definedName name="II00_0000168">#REF!</definedName>
    <definedName name="II00_0000169" localSheetId="0">#REF!</definedName>
    <definedName name="II00_0000169" localSheetId="2">#REF!</definedName>
    <definedName name="II00_0000169">#REF!</definedName>
    <definedName name="II00_0000171" localSheetId="0">#REF!</definedName>
    <definedName name="II00_0000171" localSheetId="2">#REF!</definedName>
    <definedName name="II00_0000171">#REF!</definedName>
    <definedName name="II00_0000172" localSheetId="0">#REF!</definedName>
    <definedName name="II00_0000172" localSheetId="2">#REF!</definedName>
    <definedName name="II00_0000172">#REF!</definedName>
    <definedName name="II00_0000173" localSheetId="0">#REF!</definedName>
    <definedName name="II00_0000173" localSheetId="2">#REF!</definedName>
    <definedName name="II00_0000173">#REF!</definedName>
    <definedName name="II00_0000174" localSheetId="0">#REF!</definedName>
    <definedName name="II00_0000174" localSheetId="2">#REF!</definedName>
    <definedName name="II00_0000174">#REF!</definedName>
    <definedName name="II00_0000178" localSheetId="0">#REF!</definedName>
    <definedName name="II00_0000178" localSheetId="2">#REF!</definedName>
    <definedName name="II00_0000178">#REF!</definedName>
    <definedName name="II00_0000180" localSheetId="0">#REF!</definedName>
    <definedName name="II00_0000180" localSheetId="2">#REF!</definedName>
    <definedName name="II00_0000180">#REF!</definedName>
    <definedName name="II00_0000184" localSheetId="0">#REF!</definedName>
    <definedName name="II00_0000184" localSheetId="2">#REF!</definedName>
    <definedName name="II00_0000184">#REF!</definedName>
    <definedName name="II00_0000186" localSheetId="0">#REF!</definedName>
    <definedName name="II00_0000186" localSheetId="2">#REF!</definedName>
    <definedName name="II00_0000186">#REF!</definedName>
    <definedName name="II00_0000187" localSheetId="0">#REF!</definedName>
    <definedName name="II00_0000187" localSheetId="2">#REF!</definedName>
    <definedName name="II00_0000187">#REF!</definedName>
    <definedName name="II00_0000189" localSheetId="0">#REF!</definedName>
    <definedName name="II00_0000189" localSheetId="2">#REF!</definedName>
    <definedName name="II00_0000189">#REF!</definedName>
    <definedName name="II00_0000191" localSheetId="0">#REF!</definedName>
    <definedName name="II00_0000191" localSheetId="2">#REF!</definedName>
    <definedName name="II00_0000191">#REF!</definedName>
    <definedName name="II00_0000192" localSheetId="0">#REF!</definedName>
    <definedName name="II00_0000192" localSheetId="2">#REF!</definedName>
    <definedName name="II00_0000192">#REF!</definedName>
    <definedName name="II00_0000195" localSheetId="0">#REF!</definedName>
    <definedName name="II00_0000195" localSheetId="2">#REF!</definedName>
    <definedName name="II00_0000195">#REF!</definedName>
    <definedName name="II00_0000196" localSheetId="0">#REF!</definedName>
    <definedName name="II00_0000196" localSheetId="2">#REF!</definedName>
    <definedName name="II00_0000196">#REF!</definedName>
    <definedName name="II00_0000200" localSheetId="0">#REF!</definedName>
    <definedName name="II00_0000200" localSheetId="2">#REF!</definedName>
    <definedName name="II00_0000200">#REF!</definedName>
    <definedName name="II00_0000201" localSheetId="0">#REF!</definedName>
    <definedName name="II00_0000201" localSheetId="2">#REF!</definedName>
    <definedName name="II00_0000201">#REF!</definedName>
    <definedName name="II00_0000202" localSheetId="0">#REF!</definedName>
    <definedName name="II00_0000202" localSheetId="2">#REF!</definedName>
    <definedName name="II00_0000202">#REF!</definedName>
    <definedName name="II00_0000208" localSheetId="0">#REF!</definedName>
    <definedName name="II00_0000208" localSheetId="2">#REF!</definedName>
    <definedName name="II00_0000208">#REF!</definedName>
    <definedName name="II00_0000209" localSheetId="0">#REF!</definedName>
    <definedName name="II00_0000209" localSheetId="2">#REF!</definedName>
    <definedName name="II00_0000209">#REF!</definedName>
    <definedName name="II00_0000211" localSheetId="0">#REF!</definedName>
    <definedName name="II00_0000211" localSheetId="2">#REF!</definedName>
    <definedName name="II00_0000211">#REF!</definedName>
    <definedName name="II00_0000214" localSheetId="0">#REF!</definedName>
    <definedName name="II00_0000214" localSheetId="2">#REF!</definedName>
    <definedName name="II00_0000214">#REF!</definedName>
    <definedName name="II00_0000216" localSheetId="0">#REF!</definedName>
    <definedName name="II00_0000216" localSheetId="2">#REF!</definedName>
    <definedName name="II00_0000216">#REF!</definedName>
    <definedName name="II00_0000217" localSheetId="0">#REF!</definedName>
    <definedName name="II00_0000217" localSheetId="2">#REF!</definedName>
    <definedName name="II00_0000217">#REF!</definedName>
    <definedName name="II00_0000218" localSheetId="0">#REF!</definedName>
    <definedName name="II00_0000218" localSheetId="2">#REF!</definedName>
    <definedName name="II00_0000218">#REF!</definedName>
    <definedName name="II00_0000219" localSheetId="0">#REF!</definedName>
    <definedName name="II00_0000219" localSheetId="2">#REF!</definedName>
    <definedName name="II00_0000219">#REF!</definedName>
    <definedName name="II00_0000220" localSheetId="0">#REF!</definedName>
    <definedName name="II00_0000220" localSheetId="2">#REF!</definedName>
    <definedName name="II00_0000220">#REF!</definedName>
    <definedName name="II00_0000222" localSheetId="0">#REF!</definedName>
    <definedName name="II00_0000222" localSheetId="2">#REF!</definedName>
    <definedName name="II00_0000222">#REF!</definedName>
    <definedName name="II00_0000225" localSheetId="0">#REF!</definedName>
    <definedName name="II00_0000225" localSheetId="2">#REF!</definedName>
    <definedName name="II00_0000225">#REF!</definedName>
    <definedName name="II00_0000227" localSheetId="0">#REF!</definedName>
    <definedName name="II00_0000227" localSheetId="2">#REF!</definedName>
    <definedName name="II00_0000227">#REF!</definedName>
    <definedName name="II00_0000229" localSheetId="0">#REF!</definedName>
    <definedName name="II00_0000229" localSheetId="2">#REF!</definedName>
    <definedName name="II00_0000229">#REF!</definedName>
    <definedName name="II00_0000231" localSheetId="0">#REF!</definedName>
    <definedName name="II00_0000231" localSheetId="2">#REF!</definedName>
    <definedName name="II00_0000231">#REF!</definedName>
    <definedName name="II00_0000233" localSheetId="0">#REF!</definedName>
    <definedName name="II00_0000233" localSheetId="2">#REF!</definedName>
    <definedName name="II00_0000233">#REF!</definedName>
    <definedName name="II00_0000235" localSheetId="0">#REF!</definedName>
    <definedName name="II00_0000235" localSheetId="2">#REF!</definedName>
    <definedName name="II00_0000235">#REF!</definedName>
    <definedName name="II00_0000242" localSheetId="0">#REF!</definedName>
    <definedName name="II00_0000242" localSheetId="2">#REF!</definedName>
    <definedName name="II00_0000242">#REF!</definedName>
    <definedName name="II00_0000244" localSheetId="0">#REF!</definedName>
    <definedName name="II00_0000244" localSheetId="2">#REF!</definedName>
    <definedName name="II00_0000244">#REF!</definedName>
    <definedName name="II00_0000245" localSheetId="0">#REF!</definedName>
    <definedName name="II00_0000245" localSheetId="2">#REF!</definedName>
    <definedName name="II00_0000245">#REF!</definedName>
    <definedName name="II00_0000246" localSheetId="0">#REF!</definedName>
    <definedName name="II00_0000246" localSheetId="2">#REF!</definedName>
    <definedName name="II00_0000246">#REF!</definedName>
    <definedName name="II00_0000247" localSheetId="0">#REF!</definedName>
    <definedName name="II00_0000247" localSheetId="2">#REF!</definedName>
    <definedName name="II00_0000247">#REF!</definedName>
    <definedName name="II00_0000250" localSheetId="0">#REF!</definedName>
    <definedName name="II00_0000250" localSheetId="2">#REF!</definedName>
    <definedName name="II00_0000250">#REF!</definedName>
    <definedName name="II00_0000252" localSheetId="0">#REF!</definedName>
    <definedName name="II00_0000252" localSheetId="2">#REF!</definedName>
    <definedName name="II00_0000252">#REF!</definedName>
    <definedName name="II00_0000253" localSheetId="0">#REF!</definedName>
    <definedName name="II00_0000253" localSheetId="2">#REF!</definedName>
    <definedName name="II00_0000253">#REF!</definedName>
    <definedName name="II00_0000254" localSheetId="0">#REF!</definedName>
    <definedName name="II00_0000254" localSheetId="2">#REF!</definedName>
    <definedName name="II00_0000254">#REF!</definedName>
    <definedName name="II00_0000255" localSheetId="0">#REF!</definedName>
    <definedName name="II00_0000255" localSheetId="2">#REF!</definedName>
    <definedName name="II00_0000255">#REF!</definedName>
    <definedName name="II00_0000257" localSheetId="0">#REF!</definedName>
    <definedName name="II00_0000257" localSheetId="2">#REF!</definedName>
    <definedName name="II00_0000257">#REF!</definedName>
    <definedName name="II00_0000258" localSheetId="0">#REF!</definedName>
    <definedName name="II00_0000258" localSheetId="2">#REF!</definedName>
    <definedName name="II00_0000258">#REF!</definedName>
    <definedName name="II00_0000259" localSheetId="0">#REF!</definedName>
    <definedName name="II00_0000259" localSheetId="2">#REF!</definedName>
    <definedName name="II00_0000259">#REF!</definedName>
    <definedName name="II00_0000260" localSheetId="0">#REF!</definedName>
    <definedName name="II00_0000260" localSheetId="2">#REF!</definedName>
    <definedName name="II00_0000260">#REF!</definedName>
    <definedName name="II00_0000261" localSheetId="0">#REF!</definedName>
    <definedName name="II00_0000261" localSheetId="2">#REF!</definedName>
    <definedName name="II00_0000261">#REF!</definedName>
    <definedName name="II00_0000262" localSheetId="0">#REF!</definedName>
    <definedName name="II00_0000262" localSheetId="2">#REF!</definedName>
    <definedName name="II00_0000262">#REF!</definedName>
    <definedName name="II00_0000264" localSheetId="0">#REF!</definedName>
    <definedName name="II00_0000264" localSheetId="2">#REF!</definedName>
    <definedName name="II00_0000264">#REF!</definedName>
    <definedName name="II00_0000265" localSheetId="0">#REF!</definedName>
    <definedName name="II00_0000265" localSheetId="2">#REF!</definedName>
    <definedName name="II00_0000265">#REF!</definedName>
    <definedName name="II00_0000273" localSheetId="0">#REF!</definedName>
    <definedName name="II00_0000273" localSheetId="2">#REF!</definedName>
    <definedName name="II00_0000273">#REF!</definedName>
    <definedName name="II00_0000274" localSheetId="0">#REF!</definedName>
    <definedName name="II00_0000274" localSheetId="2">#REF!</definedName>
    <definedName name="II00_0000274">#REF!</definedName>
    <definedName name="II00_0000280" localSheetId="0">#REF!</definedName>
    <definedName name="II00_0000280" localSheetId="2">#REF!</definedName>
    <definedName name="II00_0000280">#REF!</definedName>
    <definedName name="II00_0000281" localSheetId="0">#REF!</definedName>
    <definedName name="II00_0000281" localSheetId="2">#REF!</definedName>
    <definedName name="II00_0000281">#REF!</definedName>
    <definedName name="II00_0000283" localSheetId="0">#REF!</definedName>
    <definedName name="II00_0000283" localSheetId="2">#REF!</definedName>
    <definedName name="II00_0000283">#REF!</definedName>
    <definedName name="II00_0000284" localSheetId="0">#REF!</definedName>
    <definedName name="II00_0000284" localSheetId="2">#REF!</definedName>
    <definedName name="II00_0000284">#REF!</definedName>
    <definedName name="II00_0000286" localSheetId="0">#REF!</definedName>
    <definedName name="II00_0000286" localSheetId="2">#REF!</definedName>
    <definedName name="II00_0000286">#REF!</definedName>
    <definedName name="II00_0000289" localSheetId="0">#REF!</definedName>
    <definedName name="II00_0000289" localSheetId="2">#REF!</definedName>
    <definedName name="II00_0000289">#REF!</definedName>
    <definedName name="II00_0000290" localSheetId="0">#REF!</definedName>
    <definedName name="II00_0000290" localSheetId="2">#REF!</definedName>
    <definedName name="II00_0000290">#REF!</definedName>
    <definedName name="II00_0000293" localSheetId="0">#REF!</definedName>
    <definedName name="II00_0000293" localSheetId="2">#REF!</definedName>
    <definedName name="II00_0000293">#REF!</definedName>
    <definedName name="II00_0000295" localSheetId="0">#REF!</definedName>
    <definedName name="II00_0000295" localSheetId="2">#REF!</definedName>
    <definedName name="II00_0000295">#REF!</definedName>
    <definedName name="II00_0000299" localSheetId="0">#REF!</definedName>
    <definedName name="II00_0000299" localSheetId="2">#REF!</definedName>
    <definedName name="II00_0000299">#REF!</definedName>
    <definedName name="II00_0000300" localSheetId="0">#REF!</definedName>
    <definedName name="II00_0000300" localSheetId="2">#REF!</definedName>
    <definedName name="II00_0000300">#REF!</definedName>
    <definedName name="II00_0000301" localSheetId="0">#REF!</definedName>
    <definedName name="II00_0000301" localSheetId="2">#REF!</definedName>
    <definedName name="II00_0000301">#REF!</definedName>
    <definedName name="II00_0000304" localSheetId="0">#REF!</definedName>
    <definedName name="II00_0000304" localSheetId="2">#REF!</definedName>
    <definedName name="II00_0000304">#REF!</definedName>
    <definedName name="II00_0000305" localSheetId="0">#REF!</definedName>
    <definedName name="II00_0000305" localSheetId="2">#REF!</definedName>
    <definedName name="II00_0000305">#REF!</definedName>
    <definedName name="II00_0000306" localSheetId="0">#REF!</definedName>
    <definedName name="II00_0000306" localSheetId="2">#REF!</definedName>
    <definedName name="II00_0000306">#REF!</definedName>
    <definedName name="II00_0000307" localSheetId="0">#REF!</definedName>
    <definedName name="II00_0000307" localSheetId="2">#REF!</definedName>
    <definedName name="II00_0000307">#REF!</definedName>
    <definedName name="II00_0000308" localSheetId="0">#REF!</definedName>
    <definedName name="II00_0000308" localSheetId="2">#REF!</definedName>
    <definedName name="II00_0000308">#REF!</definedName>
    <definedName name="II00_0000311" localSheetId="0">#REF!</definedName>
    <definedName name="II00_0000311" localSheetId="2">#REF!</definedName>
    <definedName name="II00_0000311">#REF!</definedName>
    <definedName name="II00_0000314" localSheetId="0">#REF!</definedName>
    <definedName name="II00_0000314" localSheetId="2">#REF!</definedName>
    <definedName name="II00_0000314">#REF!</definedName>
    <definedName name="II00_0000315" localSheetId="0">#REF!</definedName>
    <definedName name="II00_0000315" localSheetId="2">#REF!</definedName>
    <definedName name="II00_0000315">#REF!</definedName>
    <definedName name="II00_0000316" localSheetId="0">#REF!</definedName>
    <definedName name="II00_0000316" localSheetId="2">#REF!</definedName>
    <definedName name="II00_0000316">#REF!</definedName>
    <definedName name="II00_0000319" localSheetId="0">#REF!</definedName>
    <definedName name="II00_0000319" localSheetId="2">#REF!</definedName>
    <definedName name="II00_0000319">#REF!</definedName>
    <definedName name="II00_0000320" localSheetId="0">#REF!</definedName>
    <definedName name="II00_0000320" localSheetId="2">#REF!</definedName>
    <definedName name="II00_0000320">#REF!</definedName>
    <definedName name="II00_0000322" localSheetId="0">#REF!</definedName>
    <definedName name="II00_0000322" localSheetId="2">#REF!</definedName>
    <definedName name="II00_0000322">#REF!</definedName>
    <definedName name="II00_0000324" localSheetId="0">#REF!</definedName>
    <definedName name="II00_0000324" localSheetId="2">#REF!</definedName>
    <definedName name="II00_0000324">#REF!</definedName>
    <definedName name="II00_0000325" localSheetId="0">#REF!</definedName>
    <definedName name="II00_0000325" localSheetId="2">#REF!</definedName>
    <definedName name="II00_0000325">#REF!</definedName>
    <definedName name="II00_0000327" localSheetId="0">#REF!</definedName>
    <definedName name="II00_0000327" localSheetId="2">#REF!</definedName>
    <definedName name="II00_0000327">#REF!</definedName>
    <definedName name="II00_0000332" localSheetId="0">#REF!</definedName>
    <definedName name="II00_0000332" localSheetId="2">#REF!</definedName>
    <definedName name="II00_0000332">#REF!</definedName>
    <definedName name="II00_0000348" localSheetId="0">#REF!</definedName>
    <definedName name="II00_0000348" localSheetId="2">#REF!</definedName>
    <definedName name="II00_0000348">#REF!</definedName>
    <definedName name="II00_0000349" localSheetId="0">#REF!</definedName>
    <definedName name="II00_0000349" localSheetId="2">#REF!</definedName>
    <definedName name="II00_0000349">#REF!</definedName>
    <definedName name="II00_0000356" localSheetId="0">#REF!</definedName>
    <definedName name="II00_0000356" localSheetId="2">#REF!</definedName>
    <definedName name="II00_0000356">#REF!</definedName>
    <definedName name="II00_0000357" localSheetId="0">#REF!</definedName>
    <definedName name="II00_0000357" localSheetId="2">#REF!</definedName>
    <definedName name="II00_0000357">#REF!</definedName>
    <definedName name="II00_0000364" localSheetId="0">#REF!</definedName>
    <definedName name="II00_0000364" localSheetId="2">#REF!</definedName>
    <definedName name="II00_0000364">#REF!</definedName>
    <definedName name="II00_0000366" localSheetId="0">#REF!</definedName>
    <definedName name="II00_0000366" localSheetId="2">#REF!</definedName>
    <definedName name="II00_0000366">#REF!</definedName>
    <definedName name="II00_0000368" localSheetId="0">#REF!</definedName>
    <definedName name="II00_0000368" localSheetId="2">#REF!</definedName>
    <definedName name="II00_0000368">#REF!</definedName>
    <definedName name="II00_0000369" localSheetId="0">#REF!</definedName>
    <definedName name="II00_0000369" localSheetId="2">#REF!</definedName>
    <definedName name="II00_0000369">#REF!</definedName>
    <definedName name="II00_0000371" localSheetId="0">#REF!</definedName>
    <definedName name="II00_0000371" localSheetId="2">#REF!</definedName>
    <definedName name="II00_0000371">#REF!</definedName>
    <definedName name="II00_0000378" localSheetId="0">#REF!</definedName>
    <definedName name="II00_0000378" localSheetId="2">#REF!</definedName>
    <definedName name="II00_0000378">#REF!</definedName>
    <definedName name="II00_0000379" localSheetId="0">#REF!</definedName>
    <definedName name="II00_0000379" localSheetId="2">#REF!</definedName>
    <definedName name="II00_0000379">#REF!</definedName>
    <definedName name="II00_0000383" localSheetId="0">#REF!</definedName>
    <definedName name="II00_0000383" localSheetId="2">#REF!</definedName>
    <definedName name="II00_0000383">#REF!</definedName>
    <definedName name="II00_0000384" localSheetId="0">#REF!</definedName>
    <definedName name="II00_0000384" localSheetId="2">#REF!</definedName>
    <definedName name="II00_0000384">#REF!</definedName>
    <definedName name="II00_0000390" localSheetId="0">#REF!</definedName>
    <definedName name="II00_0000390" localSheetId="2">#REF!</definedName>
    <definedName name="II00_0000390">#REF!</definedName>
    <definedName name="II00_0000391" localSheetId="0">#REF!</definedName>
    <definedName name="II00_0000391" localSheetId="2">#REF!</definedName>
    <definedName name="II00_0000391">#REF!</definedName>
    <definedName name="II00_0000395" localSheetId="0">#REF!</definedName>
    <definedName name="II00_0000395" localSheetId="2">#REF!</definedName>
    <definedName name="II00_0000395">#REF!</definedName>
    <definedName name="II00_0000399" localSheetId="0">#REF!</definedName>
    <definedName name="II00_0000399" localSheetId="2">#REF!</definedName>
    <definedName name="II00_0000399">#REF!</definedName>
    <definedName name="II00_0000400" localSheetId="0">#REF!</definedName>
    <definedName name="II00_0000400" localSheetId="2">#REF!</definedName>
    <definedName name="II00_0000400">#REF!</definedName>
    <definedName name="II00_0000404" localSheetId="0">#REF!</definedName>
    <definedName name="II00_0000404" localSheetId="2">#REF!</definedName>
    <definedName name="II00_0000404">#REF!</definedName>
    <definedName name="II00_0000406" localSheetId="0">#REF!</definedName>
    <definedName name="II00_0000406" localSheetId="2">#REF!</definedName>
    <definedName name="II00_0000406">#REF!</definedName>
    <definedName name="TI00_0000278" localSheetId="0">#REF!</definedName>
    <definedName name="TI00_0000278" localSheetId="2">#REF!</definedName>
    <definedName name="TI00_0000278">#REF!</definedName>
    <definedName name="TI00_0000309" localSheetId="0">#REF!</definedName>
    <definedName name="TI00_0000309" localSheetId="2">#REF!</definedName>
    <definedName name="TI00_0000309">#REF!</definedName>
    <definedName name="TI00_0000341" localSheetId="0">#REF!</definedName>
    <definedName name="TI00_0000341" localSheetId="2">#REF!</definedName>
    <definedName name="TI00_0000341">#REF!</definedName>
    <definedName name="А" localSheetId="2">OFFSET(#REF!,0,0,MAX(#REF!),1)</definedName>
    <definedName name="А">OFFSET(#REF!,0,0,MAX(#REF!),1)</definedName>
    <definedName name="Договор" localSheetId="0">#REF!</definedName>
    <definedName name="Договор" localSheetId="2">#REF!</definedName>
    <definedName name="Договор">#REF!</definedName>
    <definedName name="_xlnm.Print_Area" localSheetId="0">'Прилож. к АКТУ'!$A$1:$G$47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9" l="1"/>
  <c r="G38" i="9" l="1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C20" i="9" s="1"/>
  <c r="C11" i="9" l="1"/>
  <c r="C14" i="9"/>
  <c r="C16" i="9"/>
  <c r="C18" i="9"/>
  <c r="B24" i="9"/>
  <c r="G46" i="9" l="1"/>
  <c r="G44" i="9"/>
  <c r="G42" i="9"/>
</calcChain>
</file>

<file path=xl/sharedStrings.xml><?xml version="1.0" encoding="utf-8"?>
<sst xmlns="http://schemas.openxmlformats.org/spreadsheetml/2006/main" count="756" uniqueCount="424">
  <si>
    <t>УТВЕРЖДАЮ:</t>
  </si>
  <si>
    <t>Технический директор</t>
  </si>
  <si>
    <t>________________ С.И.Рябинин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</si>
  <si>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</si>
  <si>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</si>
  <si>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</si>
  <si>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</si>
  <si>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</si>
  <si>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</si>
  <si>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</si>
  <si>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</si>
  <si>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</si>
  <si>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</si>
  <si>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</si>
  <si>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</si>
  <si>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</si>
  <si>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</si>
  <si>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</si>
  <si>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</si>
  <si>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</si>
  <si>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</si>
  <si>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</si>
  <si>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</si>
  <si>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</si>
  <si>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</si>
  <si>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</si>
  <si>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</si>
  <si>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</si>
  <si>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</si>
  <si>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</si>
  <si>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</si>
  <si>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</si>
  <si>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</si>
  <si>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</si>
  <si>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</si>
  <si>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</si>
  <si>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</si>
  <si>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</si>
  <si>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</si>
  <si>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</si>
  <si>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</si>
  <si>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</si>
  <si>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</si>
  <si>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</si>
  <si>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</si>
  <si>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</si>
  <si>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</si>
  <si>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</si>
  <si>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</si>
  <si>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</si>
  <si>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</si>
  <si>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</si>
  <si>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</si>
  <si>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</si>
  <si>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</si>
  <si>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</si>
  <si>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</si>
  <si>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</si>
  <si>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</si>
  <si>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</si>
  <si>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</si>
  <si>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</si>
  <si>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</si>
  <si>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</si>
  <si>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</si>
  <si>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</si>
  <si>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</si>
  <si>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</si>
  <si>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</si>
  <si>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</si>
  <si>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</si>
  <si>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</si>
  <si>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</si>
  <si>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</si>
  <si>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</si>
  <si>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</si>
  <si>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</si>
  <si>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</si>
  <si>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</si>
  <si>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</si>
  <si>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</si>
  <si>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</si>
  <si>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</si>
  <si>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</si>
  <si>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</si>
  <si>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</si>
  <si>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</si>
  <si>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</si>
  <si>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</si>
  <si>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</si>
  <si>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</si>
  <si>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</si>
  <si>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</si>
  <si>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</si>
  <si>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</si>
  <si>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</si>
  <si>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</si>
  <si>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</si>
  <si>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</si>
  <si>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</si>
  <si>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</si>
  <si>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</si>
  <si>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</si>
  <si>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</si>
  <si>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</si>
  <si>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</si>
  <si>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</si>
  <si>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</si>
  <si>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</si>
  <si>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</si>
  <si>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</si>
  <si>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</si>
  <si>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</si>
  <si>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</si>
  <si>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</si>
  <si>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</si>
  <si>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</si>
  <si>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</si>
  <si>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</si>
  <si>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</si>
  <si>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</si>
  <si>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</si>
  <si>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</si>
  <si>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</si>
  <si>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</si>
  <si>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</si>
  <si>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</si>
  <si>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</si>
  <si>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</si>
  <si>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</si>
  <si>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</si>
  <si>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</si>
  <si>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</si>
  <si>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</si>
  <si>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</si>
  <si>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</si>
  <si>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</si>
  <si>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</si>
  <si>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</si>
  <si>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</si>
  <si>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</si>
  <si>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</si>
  <si>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</si>
  <si>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</si>
  <si>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</si>
  <si>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</si>
  <si>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</si>
  <si>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</si>
  <si>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</si>
  <si>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</si>
  <si>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</si>
  <si>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</si>
  <si>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</si>
  <si>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</si>
  <si>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</si>
  <si>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</si>
  <si>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</si>
  <si>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</si>
  <si>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</si>
  <si>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</si>
  <si>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</si>
  <si>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</si>
  <si>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</si>
  <si>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</si>
  <si>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</si>
  <si>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</si>
  <si>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</si>
  <si>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</si>
  <si>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</si>
  <si>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</si>
  <si>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</si>
  <si>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</si>
  <si>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</si>
  <si>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</si>
  <si>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</si>
  <si>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</si>
  <si>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</si>
  <si>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</si>
  <si>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</si>
  <si>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</si>
  <si>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</si>
  <si>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</si>
  <si>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</si>
  <si>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</si>
  <si>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</si>
  <si>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</si>
  <si>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</si>
  <si>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</si>
  <si>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</si>
  <si>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</si>
  <si>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</si>
  <si>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</si>
  <si>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</si>
  <si>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</si>
  <si>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</si>
  <si>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</si>
  <si>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</si>
  <si>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</si>
  <si>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</si>
  <si>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</si>
  <si>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</si>
  <si>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</si>
  <si>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</si>
  <si>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</si>
  <si>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</si>
  <si>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</si>
  <si>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</si>
  <si>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</si>
  <si>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</si>
  <si>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</si>
  <si>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</si>
  <si>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</si>
  <si>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</si>
  <si>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</si>
  <si>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</si>
  <si>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</si>
  <si>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</si>
  <si>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</si>
  <si>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</si>
  <si>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</si>
  <si>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</si>
  <si>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</si>
  <si>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</si>
  <si>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</si>
  <si>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</si>
  <si>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</si>
  <si>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</si>
  <si>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</si>
  <si>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</si>
  <si>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</si>
  <si>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</si>
  <si>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</si>
  <si>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</si>
  <si>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</si>
  <si>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</si>
  <si>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</si>
  <si>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</si>
  <si>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</si>
  <si>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</si>
  <si>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</si>
  <si>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</si>
  <si>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</si>
  <si>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</si>
  <si>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</si>
  <si>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</si>
  <si>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</si>
  <si>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</si>
  <si>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</si>
  <si>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</si>
  <si>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</si>
  <si>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</si>
  <si>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</si>
  <si>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</si>
  <si>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</si>
  <si>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</si>
  <si>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</si>
  <si>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</si>
  <si>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</si>
  <si>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</si>
  <si>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</si>
  <si>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</si>
  <si>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</si>
  <si>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</si>
  <si>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</si>
  <si>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</si>
  <si>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</si>
  <si>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</si>
  <si>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</si>
  <si>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</si>
  <si>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</si>
  <si>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</si>
  <si>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</si>
  <si>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</si>
  <si>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</si>
  <si>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</si>
  <si>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</si>
  <si>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</si>
  <si>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</si>
  <si>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</si>
  <si>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</si>
  <si>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</si>
  <si>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</si>
  <si>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</si>
  <si>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</si>
  <si>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</si>
  <si>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</si>
  <si>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</si>
  <si>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</si>
  <si>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</si>
  <si>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</si>
  <si>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</si>
  <si>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</si>
  <si>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</si>
  <si>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</si>
  <si>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</si>
  <si>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</si>
  <si>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</si>
  <si>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</si>
  <si>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</si>
  <si>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</si>
  <si>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</si>
  <si>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</si>
  <si>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</si>
  <si>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</si>
  <si>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</si>
  <si>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</si>
  <si>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</si>
  <si>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</si>
  <si>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</si>
  <si>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</si>
  <si>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</si>
  <si>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</si>
  <si>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</si>
  <si>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</si>
  <si>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</si>
  <si>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</si>
  <si>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</si>
  <si>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</si>
  <si>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</si>
  <si>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</si>
  <si>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</si>
  <si>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</si>
  <si>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</si>
  <si>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</si>
  <si>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</si>
  <si>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</si>
  <si>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</si>
  <si>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</si>
  <si>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</si>
  <si>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</si>
  <si>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</si>
  <si>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</si>
  <si>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</si>
  <si>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</si>
  <si>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</si>
  <si>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</si>
  <si>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</si>
  <si>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</si>
  <si>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</si>
  <si>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</si>
  <si>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</si>
  <si>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</si>
  <si>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</si>
  <si>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</si>
  <si>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</si>
  <si>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</si>
  <si>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</si>
  <si>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</si>
  <si>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>Ремонтная служба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</si>
  <si>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</si>
  <si>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</si>
  <si>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</si>
  <si>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</si>
  <si>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</si>
  <si>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</si>
  <si>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</si>
  <si>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</si>
  <si>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</si>
  <si>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</si>
  <si>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</si>
  <si>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</si>
  <si>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</si>
  <si>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</si>
  <si>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</si>
  <si>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</si>
  <si>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</si>
  <si>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</si>
  <si>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</si>
  <si>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</si>
  <si>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</si>
  <si>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</si>
  <si>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</si>
  <si>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</si>
  <si>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</si>
  <si>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</si>
  <si>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</si>
  <si>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</si>
  <si>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</si>
  <si>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</si>
  <si>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</si>
  <si>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</si>
  <si>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</si>
  <si>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</si>
  <si>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</si>
  <si>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</si>
  <si>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</si>
  <si>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</si>
  <si>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</si>
  <si>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Христенко Алексей Алексеевич</t>
  </si>
  <si>
    <t>Чукбар Е.В.</t>
  </si>
  <si>
    <t>2204013 Материалы для ТО и ТР прочего оборудования</t>
  </si>
  <si>
    <t>Материально ответственное лицо 
Фонд «Талант и Успех»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</si>
  <si>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</si>
  <si>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</si>
  <si>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</si>
  <si>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Ведущий инженер по обслуживанию систем противопожарной защиты</t>
  </si>
  <si>
    <t>Заместитель технического директора по системам электроснабжения</t>
  </si>
  <si>
    <t>Зарубин Игорь Алексеевич</t>
  </si>
  <si>
    <t>Заместитель технического директора по строительству</t>
  </si>
  <si>
    <t>Ильин Алексей Анатольевич</t>
  </si>
  <si>
    <t>Заместитель технического директора по автоматизации и диспетчеризации</t>
  </si>
  <si>
    <t>Кононенко Олег Васильевич</t>
  </si>
  <si>
    <t>Левченко Константин Александрович</t>
  </si>
  <si>
    <t>Ведущий инженер по эксплуатации технологического оборудования и инженерных систем</t>
  </si>
  <si>
    <t>подпись</t>
  </si>
  <si>
    <t xml:space="preserve">       ФИО</t>
  </si>
  <si>
    <t xml:space="preserve">                                         ФИО</t>
  </si>
  <si>
    <t>Лампа аварийного освещения светодиодная 12В, 1W, XIZIOTIS XAA417AK2</t>
  </si>
  <si>
    <t>Маслосборная коробка ZAA508R1</t>
  </si>
  <si>
    <t>Плата этажного индикатора PWB-PL TLHPI-1A (rev2.0) Thyssen</t>
  </si>
  <si>
    <t>Пружина доводчика ДШ L=720мм D=19мм, Selcom</t>
  </si>
  <si>
    <t>Ролик подвески ДК/ДШ, d=56 мм, 3201.05.0032C, Hydra,</t>
  </si>
  <si>
    <t>Тросик пружины дверей шахты L=1070mm, 3201.05.4001, Wittur</t>
  </si>
  <si>
    <t>шт</t>
  </si>
  <si>
    <t>Стрейч-пленка для ручной упаковки черная вторичное сырье вес 2кг 20мкм x 217м x 500мм</t>
  </si>
  <si>
    <t>Хабаров Д.Б.</t>
  </si>
  <si>
    <t>Зарубин И.А.</t>
  </si>
  <si>
    <t>Агеев В.А.</t>
  </si>
  <si>
    <t>Ячменев И.Р.</t>
  </si>
  <si>
    <t>Техническое обслуживание лифтового оборудования</t>
  </si>
  <si>
    <t>Расходный материал для выполения работ ТО и ТР</t>
  </si>
  <si>
    <t>Акт установки №1к
от 18.12.2025</t>
  </si>
  <si>
    <t>18 декабря 2025 г.</t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</si>
  <si>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>№1к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</si>
</sst>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FC19]dd\ mmmm\ yyyy\ \г\.;@"/>
  </numFmts>
  <fonts count="2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u/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rgb="FF333333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33">
    <xf numFmtId="0" fontId="0" fillId="0" borderId="0" xfId="0"/>
    <xf numFmtId="0" fontId="0" fillId="0" borderId="0" xfId="0" applyFont="1"/>
    <xf numFmtId="0" fontId="7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7" fillId="0" borderId="7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11" fillId="0" borderId="4" xfId="0" applyNumberFormat="1" applyFont="1" applyBorder="1" applyAlignment="1">
      <alignment vertical="top" wrapText="1"/>
    </xf>
    <xf numFmtId="0" fontId="8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/>
    </xf>
    <xf numFmtId="49" fontId="7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9" fillId="3" borderId="6" xfId="0" applyFont="1" applyFill="1" applyBorder="1" applyAlignment="1">
      <alignment vertical="center" wrapText="1"/>
    </xf>
    <xf numFmtId="0" fontId="9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5" fillId="0" borderId="0" xfId="0" applyFont="1" applyFill="1" applyBorder="1"/>
    <xf numFmtId="0" fontId="7" fillId="2" borderId="4" xfId="0" applyFont="1" applyFill="1" applyBorder="1" applyAlignment="1"/>
    <xf numFmtId="0" fontId="11" fillId="0" borderId="4" xfId="0" applyNumberFormat="1" applyFont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7" fillId="0" borderId="4" xfId="0" applyFont="1" applyBorder="1" applyAlignment="1"/>
    <xf numFmtId="0" fontId="7" fillId="0" borderId="7" xfId="0" applyFont="1" applyBorder="1" applyAlignment="1"/>
    <xf numFmtId="0" fontId="7" fillId="0" borderId="5" xfId="0" applyFont="1" applyBorder="1" applyAlignment="1"/>
    <xf numFmtId="0" fontId="7" fillId="0" borderId="0" xfId="0" applyFont="1" applyAlignment="1"/>
    <xf numFmtId="0" fontId="0" fillId="0" borderId="0" xfId="0" applyFont="1" applyAlignment="1"/>
    <xf numFmtId="0" fontId="9" fillId="3" borderId="8" xfId="0" applyFont="1" applyFill="1" applyBorder="1" applyAlignment="1">
      <alignment wrapText="1"/>
    </xf>
    <xf numFmtId="0" fontId="9" fillId="3" borderId="6" xfId="0" applyFont="1" applyFill="1" applyBorder="1" applyAlignment="1"/>
    <xf numFmtId="0" fontId="11" fillId="0" borderId="4" xfId="0" applyNumberFormat="1" applyFont="1" applyBorder="1" applyAlignment="1"/>
    <xf numFmtId="0" fontId="7" fillId="2" borderId="7" xfId="0" applyFont="1" applyFill="1" applyBorder="1" applyAlignment="1"/>
    <xf numFmtId="0" fontId="7" fillId="2" borderId="5" xfId="0" applyFont="1" applyFill="1" applyBorder="1" applyAlignment="1"/>
    <xf numFmtId="0" fontId="16" fillId="0" borderId="0" xfId="0" applyFont="1" applyFill="1" applyAlignment="1" applyProtection="1">
      <alignment horizontal="left" indent="1"/>
      <protection hidden="1"/>
    </xf>
    <xf numFmtId="0" fontId="16" fillId="0" borderId="0" xfId="0" applyFont="1" applyFill="1" applyAlignment="1" applyProtection="1">
      <alignment horizontal="left" vertical="center" indent="1"/>
      <protection hidden="1"/>
    </xf>
    <xf numFmtId="0" fontId="15" fillId="0" borderId="0" xfId="0" applyFont="1" applyFill="1" applyAlignment="1" applyProtection="1">
      <alignment horizontal="right" vertical="center" indent="1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3" fillId="0" borderId="0" xfId="0" applyFont="1" applyBorder="1" applyAlignment="1" applyProtection="1">
      <alignment wrapText="1"/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0" fontId="5" fillId="0" borderId="0" xfId="0" applyNumberFormat="1" applyFont="1" applyBorder="1" applyAlignment="1">
      <alignment vertical="top"/>
    </xf>
    <xf numFmtId="0" fontId="16" fillId="0" borderId="0" xfId="0" applyFont="1" applyFill="1" applyAlignment="1" applyProtection="1">
      <alignment horizontal="left" wrapText="1"/>
      <protection hidden="1"/>
    </xf>
    <xf numFmtId="0" fontId="3" fillId="0" borderId="0" xfId="0" applyFont="1" applyFill="1" applyBorder="1" applyAlignment="1" applyProtection="1">
      <alignment vertical="center" wrapText="1"/>
      <protection hidden="1"/>
    </xf>
    <xf numFmtId="0" fontId="4" fillId="0" borderId="0" xfId="0" applyFont="1" applyFill="1" applyAlignment="1" applyProtection="1">
      <alignment horizontal="left" wrapText="1"/>
      <protection hidden="1"/>
    </xf>
    <xf numFmtId="0" fontId="17" fillId="0" borderId="0" xfId="0" applyFont="1" applyFill="1" applyAlignment="1" applyProtection="1">
      <alignment horizontal="left" vertical="center" wrapText="1"/>
      <protection hidden="1"/>
    </xf>
    <xf numFmtId="0" fontId="4" fillId="0" borderId="0" xfId="0" applyFont="1" applyFill="1" applyAlignment="1" applyProtection="1">
      <alignment horizontal="center" wrapText="1"/>
      <protection hidden="1"/>
    </xf>
    <xf numFmtId="0" fontId="4" fillId="0" borderId="0" xfId="0" applyFont="1" applyFill="1" applyBorder="1" applyAlignment="1" applyProtection="1">
      <alignment wrapText="1"/>
      <protection hidden="1"/>
    </xf>
    <xf numFmtId="0" fontId="14" fillId="0" borderId="0" xfId="0" applyFont="1" applyBorder="1" applyAlignment="1" applyProtection="1">
      <alignment horizontal="center" vertical="top"/>
      <protection hidden="1"/>
    </xf>
    <xf numFmtId="0" fontId="11" fillId="2" borderId="4" xfId="0" applyFont="1" applyFill="1" applyBorder="1" applyAlignment="1">
      <alignment wrapText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15" fillId="0" borderId="1" xfId="0" applyFont="1" applyFill="1" applyBorder="1" applyAlignment="1" applyProtection="1">
      <alignment horizontal="center" vertical="top" wrapText="1"/>
      <protection hidden="1"/>
    </xf>
    <xf numFmtId="0" fontId="16" fillId="0" borderId="0" xfId="0" applyFont="1" applyProtection="1">
      <protection hidden="1"/>
    </xf>
    <xf numFmtId="0" fontId="16" fillId="0" borderId="0" xfId="0" applyFont="1" applyBorder="1" applyProtection="1">
      <protection hidden="1"/>
    </xf>
    <xf numFmtId="0" fontId="16" fillId="0" borderId="0" xfId="0" applyFont="1" applyAlignment="1" applyProtection="1">
      <alignment wrapText="1"/>
      <protection hidden="1"/>
    </xf>
    <xf numFmtId="0" fontId="4" fillId="0" borderId="0" xfId="0" applyFont="1" applyFill="1" applyProtection="1">
      <protection hidden="1"/>
    </xf>
    <xf numFmtId="0" fontId="4" fillId="0" borderId="0" xfId="0" applyFont="1" applyFill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0" borderId="0" xfId="0" applyFont="1" applyBorder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wrapText="1"/>
      <protection hidden="1"/>
    </xf>
    <xf numFmtId="0" fontId="4" fillId="0" borderId="0" xfId="0" applyFont="1" applyFill="1" applyAlignment="1" applyProtection="1">
      <alignment horizontal="left" vertical="center" wrapText="1"/>
      <protection hidden="1"/>
    </xf>
    <xf numFmtId="0" fontId="4" fillId="0" borderId="0" xfId="0" applyFont="1" applyFill="1" applyAlignment="1" applyProtection="1">
      <alignment horizontal="left" vertical="center" indent="1"/>
      <protection hidden="1"/>
    </xf>
    <xf numFmtId="0" fontId="1" fillId="0" borderId="0" xfId="0" applyFont="1" applyFill="1" applyAlignment="1" applyProtection="1">
      <alignment horizontal="right" vertical="center" indent="1"/>
      <protection hidden="1"/>
    </xf>
    <xf numFmtId="0" fontId="1" fillId="0" borderId="0" xfId="0" applyFont="1" applyFill="1" applyAlignment="1" applyProtection="1">
      <alignment horizontal="right" indent="1"/>
      <protection hidden="1"/>
    </xf>
    <xf numFmtId="0" fontId="1" fillId="0" borderId="0" xfId="0" applyFont="1" applyFill="1" applyAlignment="1" applyProtection="1">
      <alignment horizontal="center"/>
      <protection hidden="1"/>
    </xf>
    <xf numFmtId="165" fontId="1" fillId="0" borderId="0" xfId="0" applyNumberFormat="1" applyFont="1" applyFill="1" applyAlignment="1" applyProtection="1">
      <alignment horizontal="center" vertical="center"/>
      <protection hidden="1"/>
    </xf>
    <xf numFmtId="164" fontId="1" fillId="0" borderId="0" xfId="0" applyNumberFormat="1" applyFont="1" applyFill="1" applyAlignment="1" applyProtection="1">
      <alignment horizontal="center" vertical="center" wrapText="1"/>
      <protection hidden="1"/>
    </xf>
    <xf numFmtId="164" fontId="1" fillId="0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Fill="1" applyAlignment="1" applyProtection="1">
      <alignment horizontal="center" wrapText="1"/>
      <protection hidden="1"/>
    </xf>
    <xf numFmtId="0" fontId="1" fillId="0" borderId="0" xfId="0" applyFont="1" applyFill="1" applyAlignment="1" applyProtection="1">
      <alignment horizontal="center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2" xfId="0" applyFont="1" applyBorder="1" applyAlignment="1" applyProtection="1">
      <alignment horizontal="left" vertical="top" wrapText="1"/>
      <protection hidden="1"/>
    </xf>
    <xf numFmtId="0" fontId="13" fillId="0" borderId="2" xfId="0" applyFont="1" applyBorder="1" applyAlignment="1" applyProtection="1">
      <alignment horizontal="right" vertical="top"/>
      <protection hidden="1"/>
    </xf>
    <xf numFmtId="0" fontId="14" fillId="0" borderId="0" xfId="0" applyFont="1" applyAlignment="1" applyProtection="1">
      <alignment horizontal="left" vertical="center" indent="3"/>
      <protection hidden="1"/>
    </xf>
    <xf numFmtId="0" fontId="14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Fill="1" applyAlignment="1" applyProtection="1">
      <protection hidden="1"/>
    </xf>
    <xf numFmtId="0" fontId="1" fillId="0" borderId="0" xfId="0" applyFont="1" applyFill="1" applyAlignment="1" applyProtection="1">
      <alignment wrapText="1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3" fillId="0" borderId="0" xfId="0" applyFont="1" applyAlignment="1" applyProtection="1">
      <alignment vertical="top"/>
      <protection hidden="1"/>
    </xf>
    <xf numFmtId="0" fontId="13" fillId="0" borderId="0" xfId="0" applyFont="1" applyAlignment="1" applyProtection="1">
      <alignment wrapText="1"/>
      <protection hidden="1"/>
    </xf>
    <xf numFmtId="0" fontId="13" fillId="0" borderId="2" xfId="0" applyFont="1" applyFill="1" applyBorder="1" applyAlignment="1" applyProtection="1">
      <alignment horizontal="right" vertical="top"/>
      <protection hidden="1"/>
    </xf>
    <xf numFmtId="0" fontId="14" fillId="0" borderId="0" xfId="0" applyFont="1" applyAlignment="1" applyProtection="1">
      <alignment horizontal="left" wrapText="1"/>
      <protection hidden="1"/>
    </xf>
    <xf numFmtId="0" fontId="20" fillId="0" borderId="0" xfId="0" applyFont="1" applyFill="1" applyBorder="1" applyAlignment="1" applyProtection="1">
      <protection hidden="1"/>
    </xf>
    <xf numFmtId="49" fontId="20" fillId="0" borderId="2" xfId="0" applyNumberFormat="1" applyFont="1" applyFill="1" applyBorder="1" applyAlignment="1" applyProtection="1">
      <alignment horizontal="left" vertical="top"/>
      <protection hidden="1"/>
    </xf>
    <xf numFmtId="0" fontId="20" fillId="0" borderId="3" xfId="0" applyNumberFormat="1" applyFont="1" applyFill="1" applyBorder="1" applyAlignment="1" applyProtection="1">
      <alignment horizontal="left" vertical="top" wrapText="1"/>
      <protection hidden="1"/>
    </xf>
    <xf numFmtId="0" fontId="20" fillId="0" borderId="3" xfId="0" applyFont="1" applyFill="1" applyBorder="1" applyAlignment="1" applyProtection="1">
      <alignment horizontal="left" vertical="top" wrapText="1"/>
      <protection hidden="1"/>
    </xf>
    <xf numFmtId="0" fontId="20" fillId="0" borderId="0" xfId="0" applyFont="1" applyFill="1" applyBorder="1" applyAlignment="1" applyProtection="1">
      <alignment vertical="top"/>
      <protection hidden="1"/>
    </xf>
    <xf numFmtId="0" fontId="13" fillId="0" borderId="0" xfId="0" applyFont="1" applyAlignment="1" applyProtection="1">
      <alignment horizontal="left" vertical="top"/>
      <protection hidden="1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20" fillId="0" borderId="4" xfId="0" applyFont="1" applyFill="1" applyBorder="1" applyAlignment="1" applyProtection="1">
      <alignment horizontal="center" vertical="center" textRotation="90" wrapText="1"/>
      <protection hidden="1"/>
    </xf>
    <xf numFmtId="1" fontId="20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1" fillId="0" borderId="4" xfId="0" applyFont="1" applyFill="1" applyBorder="1" applyAlignment="1" applyProtection="1">
      <alignment horizontal="center" vertical="center" wrapText="1"/>
      <protection hidden="1"/>
    </xf>
    <xf numFmtId="0" fontId="3" fillId="0" borderId="4" xfId="0" applyFont="1" applyFill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14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4" xfId="0" applyFont="1" applyFill="1" applyBorder="1" applyAlignment="1" applyProtection="1">
      <alignment horizontal="center" vertical="top" wrapText="1"/>
      <protection hidden="1"/>
    </xf>
    <xf numFmtId="0" fontId="4" fillId="0" borderId="4" xfId="0" applyFont="1" applyBorder="1" applyAlignment="1">
      <alignment horizontal="left" vertical="center" wrapText="1"/>
    </xf>
    <xf numFmtId="0" fontId="21" fillId="11" borderId="4" xfId="0" applyFont="1" applyFill="1" applyBorder="1" applyAlignment="1">
      <alignment vertical="center" wrapText="1"/>
    </xf>
    <xf numFmtId="0" fontId="14" fillId="0" borderId="2" xfId="0" applyFont="1" applyBorder="1" applyAlignment="1" applyProtection="1">
      <alignment wrapText="1"/>
      <protection hidden="1"/>
    </xf>
    <xf numFmtId="0" fontId="14" fillId="0" borderId="11" xfId="0" applyFont="1" applyBorder="1" applyAlignment="1" applyProtection="1">
      <alignment wrapText="1"/>
      <protection hidden="1"/>
    </xf>
    <xf numFmtId="0" fontId="13" fillId="0" borderId="11" xfId="0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4" fillId="0" borderId="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horizontal="right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rovyh.os/Desktop/&#1055;&#1077;&#1090;&#1088;&#1086;&#1074;&#1099;&#1093;/&#1057;&#1087;&#1080;&#1089;&#1072;&#1085;&#1080;&#1077;/&#1048;&#1048;/&#1053;&#1086;&#1103;&#1073;&#1088;&#1100;/&#1043;&#1050;%20&#1040;&#1083;&#1100;&#1092;&#1072;%20-%20&#1057;&#1080;&#1088;&#1080;&#1091;&#1089;%20&#1055;&#1088;&#1080;&#1083;&#1086;&#1078;&#1077;&#1085;&#1080;&#1077;%20&#1082;%20&#1072;&#1082;&#1090;&#1091;%20&#1085;&#1072;%20&#1089;&#1087;&#1080;&#1089;&#1072;&#1085;&#1080;&#1077;%20&#1052;&#1072;&#1082;&#1072;&#1088;&#1077;&#1085;&#1082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. к АКТУ"/>
      <sheetName val="Объекты "/>
      <sheetName val="Сотрудники"/>
      <sheetName val="Должности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abSelected="1" topLeftCell="A2" zoomScale="55" zoomScaleNormal="55" zoomScaleSheetLayoutView="115" workbookViewId="0">
      <selection activeCell="B22" sqref="B22"/>
    </sheetView>
  </sheetViews>
  <sheetFormatPr defaultColWidth="8.85546875" defaultRowHeight="18.75" x14ac:dyDescent="0.3"/>
  <cols>
    <col min="1" max="1" width="16.7109375" style="84" customWidth="1"/>
    <col min="2" max="2" width="49.140625" style="87" bestFit="1" customWidth="1"/>
    <col min="3" max="3" width="4" style="84" customWidth="1"/>
    <col min="4" max="4" width="5.85546875" style="84" customWidth="1"/>
    <col min="5" max="5" width="8.42578125" style="84" customWidth="1"/>
    <col min="6" max="6" width="36.7109375" style="87" customWidth="1"/>
    <col min="7" max="7" width="38.7109375" style="84" customWidth="1"/>
    <col min="8" max="16384" width="8.85546875" style="84"/>
  </cols>
  <sheetData>
    <row r="1" spans="1:7" s="79" customFormat="1" ht="62.45" customHeight="1" thickBot="1" x14ac:dyDescent="0.35">
      <c r="A1" s="78" t="s">
        <v>361</v>
      </c>
      <c r="B1" s="78"/>
      <c r="C1" s="78"/>
      <c r="D1" s="78"/>
      <c r="E1" s="78"/>
      <c r="F1" s="78"/>
      <c r="G1" s="78"/>
    </row>
    <row r="2" spans="1:7" s="79" customFormat="1" ht="13.9" customHeight="1" x14ac:dyDescent="0.3">
      <c r="A2" s="80"/>
      <c r="B2" s="67"/>
      <c r="C2" s="58"/>
      <c r="D2" s="58"/>
      <c r="E2" s="58"/>
      <c r="F2" s="67"/>
      <c r="G2" s="58"/>
    </row>
    <row r="3" spans="1:7" s="79" customFormat="1" ht="20.25" x14ac:dyDescent="0.3">
      <c r="A3" s="80"/>
      <c r="B3" s="70"/>
      <c r="C3" s="59"/>
      <c r="F3" s="81"/>
      <c r="G3" s="60" t="s">
        <v>0</v>
      </c>
    </row>
    <row r="4" spans="1:7" s="79" customFormat="1" ht="20.25" x14ac:dyDescent="0.3">
      <c r="A4" s="85"/>
      <c r="B4" s="88"/>
      <c r="C4" s="89"/>
      <c r="D4" s="84"/>
      <c r="E4" s="84"/>
      <c r="F4" s="87"/>
      <c r="G4" s="90" t="s">
        <v>1</v>
      </c>
    </row>
    <row r="5" spans="1:7" s="79" customFormat="1" ht="45" customHeight="1" x14ac:dyDescent="0.3">
      <c r="A5" s="85"/>
      <c r="B5" s="88"/>
      <c r="C5" s="89"/>
      <c r="D5" s="84"/>
      <c r="E5" s="84"/>
      <c r="F5" s="87"/>
      <c r="G5" s="91" t="s">
        <v>2</v>
      </c>
    </row>
    <row r="6" spans="1:7" s="79" customFormat="1" ht="20.25" x14ac:dyDescent="0.3">
      <c r="A6" s="85"/>
      <c r="B6" s="69"/>
      <c r="C6" s="65"/>
      <c r="D6" s="65"/>
      <c r="E6" s="65"/>
      <c r="F6" s="69"/>
      <c r="G6" s="65"/>
    </row>
    <row r="7" spans="1:7" s="79" customFormat="1" ht="20.25" x14ac:dyDescent="0.3">
      <c r="A7" s="85"/>
      <c r="B7" s="92" t="s">
        <v>423</v>
      </c>
      <c r="C7" s="92"/>
      <c r="D7" s="92"/>
      <c r="E7" s="92"/>
      <c r="F7" s="92"/>
      <c r="G7" s="92"/>
    </row>
    <row r="8" spans="1:7" s="79" customFormat="1" ht="20.25" x14ac:dyDescent="0.3">
      <c r="A8" s="85"/>
      <c r="B8" s="93" t="s">
        <v>422</v>
      </c>
      <c r="C8" s="93"/>
      <c r="D8" s="93"/>
      <c r="E8" s="93"/>
      <c r="F8" s="93"/>
      <c r="G8" s="93"/>
    </row>
    <row r="9" spans="1:7" s="79" customFormat="1" ht="20.25" x14ac:dyDescent="0.3">
      <c r="A9" s="85"/>
      <c r="B9" s="94"/>
      <c r="C9" s="95"/>
      <c r="D9" s="95"/>
      <c r="E9" s="95"/>
      <c r="F9" s="94"/>
      <c r="G9" s="95"/>
    </row>
    <row r="10" spans="1:7" s="79" customFormat="1" ht="20.25" x14ac:dyDescent="0.3">
      <c r="A10" s="85"/>
      <c r="B10" s="96"/>
      <c r="C10" s="97"/>
      <c r="D10" s="97"/>
      <c r="E10" s="97"/>
      <c r="F10" s="96"/>
      <c r="G10" s="97"/>
    </row>
    <row r="11" spans="1:7" s="79" customFormat="1" ht="49.9" customHeight="1" x14ac:dyDescent="0.3">
      <c r="A11" s="98" t="s">
        <v>391</v>
      </c>
      <c r="B11" s="98"/>
      <c r="C11" s="99" t="str">
        <f>IF(G11&lt;&gt;0,(VLOOKUP(G11,Сотрудники!D:E,2,0)),0)</f>
        <v>Ведущий специалист</v>
      </c>
      <c r="D11" s="99"/>
      <c r="E11" s="99"/>
      <c r="F11" s="99"/>
      <c r="G11" s="100" t="s">
        <v>389</v>
      </c>
    </row>
    <row r="12" spans="1:7" s="79" customFormat="1" ht="20.25" x14ac:dyDescent="0.3">
      <c r="A12" s="101"/>
      <c r="B12" s="102"/>
      <c r="C12" s="77" t="s">
        <v>3</v>
      </c>
      <c r="D12" s="77"/>
      <c r="E12" s="77"/>
      <c r="F12" s="77"/>
      <c r="G12" s="73" t="s">
        <v>406</v>
      </c>
    </row>
    <row r="13" spans="1:7" s="79" customFormat="1" ht="20.25" x14ac:dyDescent="0.3">
      <c r="A13" s="103" t="s">
        <v>4</v>
      </c>
      <c r="B13" s="104"/>
      <c r="C13" s="105"/>
      <c r="D13" s="105"/>
      <c r="E13" s="105"/>
      <c r="F13" s="71"/>
      <c r="G13" s="105"/>
    </row>
    <row r="14" spans="1:7" s="79" customFormat="1" ht="43.9" customHeight="1" x14ac:dyDescent="0.3">
      <c r="A14" s="106" t="s">
        <v>5</v>
      </c>
      <c r="B14" s="107"/>
      <c r="C14" s="99" t="str">
        <f>IF(G14&lt;&gt;0,(VLOOKUP(G14,Сотрудники!D:E,2,0)),0)</f>
        <v>Заместитель технического директора по строительству</v>
      </c>
      <c r="D14" s="99"/>
      <c r="E14" s="99"/>
      <c r="F14" s="99"/>
      <c r="G14" s="100" t="s">
        <v>416</v>
      </c>
    </row>
    <row r="15" spans="1:7" s="79" customFormat="1" ht="20.25" x14ac:dyDescent="0.3">
      <c r="A15" s="85"/>
      <c r="B15" s="102"/>
      <c r="C15" s="77" t="s">
        <v>3</v>
      </c>
      <c r="D15" s="77"/>
      <c r="E15" s="77"/>
      <c r="F15" s="77"/>
      <c r="G15" s="73" t="s">
        <v>406</v>
      </c>
    </row>
    <row r="16" spans="1:7" s="79" customFormat="1" ht="40.15" customHeight="1" x14ac:dyDescent="0.3">
      <c r="A16" s="106" t="s">
        <v>7</v>
      </c>
      <c r="B16" s="107"/>
      <c r="C16" s="99" t="str">
        <f>IF(G16&lt;&gt;0,(VLOOKUP(G16,Сотрудники!D:E,2,0)),0)</f>
        <v>Ведущий инженер</v>
      </c>
      <c r="D16" s="99"/>
      <c r="E16" s="99"/>
      <c r="F16" s="99"/>
      <c r="G16" s="108" t="s">
        <v>417</v>
      </c>
    </row>
    <row r="17" spans="1:7" s="79" customFormat="1" ht="40.15" customHeight="1" x14ac:dyDescent="0.3">
      <c r="A17" s="85"/>
      <c r="B17" s="102"/>
      <c r="C17" s="77" t="s">
        <v>3</v>
      </c>
      <c r="D17" s="77"/>
      <c r="E17" s="77"/>
      <c r="F17" s="77"/>
      <c r="G17" s="73" t="s">
        <v>406</v>
      </c>
    </row>
    <row r="18" spans="1:7" s="79" customFormat="1" ht="40.15" customHeight="1" x14ac:dyDescent="0.3">
      <c r="A18" s="85"/>
      <c r="B18" s="109"/>
      <c r="C18" s="99" t="str">
        <f>IF(G18&lt;&gt;0,(VLOOKUP(G18,Сотрудники!D:E,2,0)),0)</f>
        <v>Руководитель группы</v>
      </c>
      <c r="D18" s="99"/>
      <c r="E18" s="99"/>
      <c r="F18" s="99"/>
      <c r="G18" s="100" t="s">
        <v>415</v>
      </c>
    </row>
    <row r="19" spans="1:7" s="79" customFormat="1" ht="40.15" customHeight="1" x14ac:dyDescent="0.3">
      <c r="A19" s="85"/>
      <c r="B19" s="102"/>
      <c r="C19" s="77" t="s">
        <v>3</v>
      </c>
      <c r="D19" s="77"/>
      <c r="E19" s="77"/>
      <c r="F19" s="77"/>
      <c r="G19" s="73" t="s">
        <v>406</v>
      </c>
    </row>
    <row r="20" spans="1:7" s="79" customFormat="1" ht="40.15" customHeight="1" x14ac:dyDescent="0.3">
      <c r="A20" s="84"/>
      <c r="B20" s="102"/>
      <c r="C20" s="99" t="str">
        <f>IF(G20&lt;&gt;0,(VLOOKUP(G20,Сотрудники!D:E,2,0)),0)</f>
        <v>Главный специалист СБ</v>
      </c>
      <c r="D20" s="99"/>
      <c r="E20" s="99"/>
      <c r="F20" s="99"/>
      <c r="G20" s="100" t="s">
        <v>418</v>
      </c>
    </row>
    <row r="21" spans="1:7" s="79" customFormat="1" ht="20.25" x14ac:dyDescent="0.3">
      <c r="A21" s="84"/>
      <c r="B21" s="102"/>
      <c r="C21" s="77" t="s">
        <v>3</v>
      </c>
      <c r="D21" s="77"/>
      <c r="E21" s="77"/>
      <c r="F21" s="77"/>
      <c r="G21" s="73" t="s">
        <v>406</v>
      </c>
    </row>
    <row r="22" spans="1:7" s="79" customFormat="1" ht="81.75" customHeight="1" x14ac:dyDescent="0.3">
      <c r="A22" s="84"/>
      <c r="B22" s="102"/>
      <c r="C22" s="76"/>
      <c r="D22" s="76"/>
      <c r="E22" s="76"/>
      <c r="F22" s="76"/>
      <c r="G22" s="73"/>
    </row>
    <row r="23" spans="1:7" x14ac:dyDescent="0.3">
      <c r="A23" s="110" t="s">
        <v>358</v>
      </c>
      <c r="B23" s="111" t="s">
        <v>236</v>
      </c>
      <c r="C23" s="62"/>
      <c r="D23" s="82"/>
      <c r="E23" s="82"/>
      <c r="F23" s="83"/>
      <c r="G23" s="82"/>
    </row>
    <row r="24" spans="1:7" x14ac:dyDescent="0.3">
      <c r="A24" s="110" t="s">
        <v>359</v>
      </c>
      <c r="B24" s="112" t="str">
        <f>IF(B23&lt;&gt;0,(VLOOKUP(B23,'Объекты '!A:B,2,0)),0)</f>
        <v>Эксплуатация и ТО_7804Ф</v>
      </c>
      <c r="C24" s="62"/>
      <c r="D24" s="82"/>
      <c r="E24" s="82"/>
      <c r="F24" s="83"/>
      <c r="G24" s="82"/>
    </row>
    <row r="25" spans="1:7" x14ac:dyDescent="0.3">
      <c r="A25" s="110" t="s">
        <v>360</v>
      </c>
      <c r="B25" s="113" t="s">
        <v>286</v>
      </c>
      <c r="C25" s="61"/>
      <c r="D25" s="61"/>
      <c r="E25" s="61"/>
      <c r="F25" s="68"/>
      <c r="G25" s="61"/>
    </row>
    <row r="26" spans="1:7" ht="21" customHeight="1" x14ac:dyDescent="0.3">
      <c r="A26" s="114" t="s">
        <v>371</v>
      </c>
      <c r="B26" s="115" t="s">
        <v>132</v>
      </c>
      <c r="C26" s="63"/>
      <c r="D26" s="63"/>
      <c r="E26" s="63"/>
      <c r="F26" s="63"/>
      <c r="G26" s="63"/>
    </row>
    <row r="27" spans="1:7" ht="21" customHeight="1" x14ac:dyDescent="0.3">
      <c r="A27" s="114"/>
      <c r="B27" s="115"/>
      <c r="C27" s="63"/>
      <c r="D27" s="63"/>
      <c r="E27" s="63"/>
      <c r="F27" s="63"/>
      <c r="G27" s="63"/>
    </row>
    <row r="28" spans="1:7" x14ac:dyDescent="0.3">
      <c r="A28" s="85"/>
      <c r="B28" s="72"/>
      <c r="C28" s="64"/>
      <c r="D28" s="65"/>
      <c r="E28" s="65"/>
      <c r="F28" s="69"/>
      <c r="G28" s="65"/>
    </row>
    <row r="29" spans="1:7" s="86" customFormat="1" ht="41.45" customHeight="1" x14ac:dyDescent="0.3">
      <c r="A29" s="116" t="s">
        <v>8</v>
      </c>
      <c r="B29" s="116" t="s">
        <v>9</v>
      </c>
      <c r="C29" s="117" t="s">
        <v>10</v>
      </c>
      <c r="D29" s="117" t="s">
        <v>11</v>
      </c>
      <c r="E29" s="118" t="s">
        <v>12</v>
      </c>
      <c r="F29" s="119" t="s">
        <v>13</v>
      </c>
      <c r="G29" s="116" t="s">
        <v>14</v>
      </c>
    </row>
    <row r="30" spans="1:7" s="86" customFormat="1" ht="63" customHeight="1" x14ac:dyDescent="0.3">
      <c r="A30" s="120">
        <v>1</v>
      </c>
      <c r="B30" s="121" t="s">
        <v>407</v>
      </c>
      <c r="C30" s="117"/>
      <c r="D30" s="122" t="s">
        <v>413</v>
      </c>
      <c r="E30" s="122">
        <v>1</v>
      </c>
      <c r="F30" s="123" t="s">
        <v>390</v>
      </c>
      <c r="G30" s="124" t="s">
        <v>419</v>
      </c>
    </row>
    <row r="31" spans="1:7" s="86" customFormat="1" ht="63" customHeight="1" x14ac:dyDescent="0.3">
      <c r="A31" s="120">
        <v>2</v>
      </c>
      <c r="B31" s="125" t="s">
        <v>408</v>
      </c>
      <c r="C31" s="117"/>
      <c r="D31" s="122" t="s">
        <v>413</v>
      </c>
      <c r="E31" s="122">
        <v>16</v>
      </c>
      <c r="F31" s="123" t="s">
        <v>390</v>
      </c>
      <c r="G31" s="124" t="s">
        <v>419</v>
      </c>
    </row>
    <row r="32" spans="1:7" s="86" customFormat="1" ht="63" customHeight="1" x14ac:dyDescent="0.3">
      <c r="A32" s="120">
        <v>3</v>
      </c>
      <c r="B32" s="126" t="s">
        <v>409</v>
      </c>
      <c r="C32" s="117"/>
      <c r="D32" s="122" t="s">
        <v>413</v>
      </c>
      <c r="E32" s="122">
        <v>1</v>
      </c>
      <c r="F32" s="123" t="s">
        <v>390</v>
      </c>
      <c r="G32" s="124" t="s">
        <v>421</v>
      </c>
    </row>
    <row r="33" spans="1:7" s="86" customFormat="1" ht="63" customHeight="1" x14ac:dyDescent="0.3">
      <c r="A33" s="120">
        <v>4</v>
      </c>
      <c r="B33" s="126" t="s">
        <v>410</v>
      </c>
      <c r="C33" s="117"/>
      <c r="D33" s="122" t="s">
        <v>413</v>
      </c>
      <c r="E33" s="122">
        <v>1</v>
      </c>
      <c r="F33" s="123" t="s">
        <v>390</v>
      </c>
      <c r="G33" s="124" t="s">
        <v>419</v>
      </c>
    </row>
    <row r="34" spans="1:7" s="86" customFormat="1" ht="63" customHeight="1" x14ac:dyDescent="0.3">
      <c r="A34" s="120">
        <v>5</v>
      </c>
      <c r="B34" s="126" t="s">
        <v>411</v>
      </c>
      <c r="C34" s="117"/>
      <c r="D34" s="122" t="s">
        <v>413</v>
      </c>
      <c r="E34" s="122">
        <v>4</v>
      </c>
      <c r="F34" s="123" t="s">
        <v>390</v>
      </c>
      <c r="G34" s="124" t="s">
        <v>419</v>
      </c>
    </row>
    <row r="35" spans="1:7" s="86" customFormat="1" ht="63" customHeight="1" x14ac:dyDescent="0.3">
      <c r="A35" s="120">
        <v>6</v>
      </c>
      <c r="B35" s="126" t="s">
        <v>412</v>
      </c>
      <c r="C35" s="117"/>
      <c r="D35" s="122" t="s">
        <v>413</v>
      </c>
      <c r="E35" s="122">
        <v>40</v>
      </c>
      <c r="F35" s="123" t="s">
        <v>390</v>
      </c>
      <c r="G35" s="124" t="s">
        <v>419</v>
      </c>
    </row>
    <row r="36" spans="1:7" s="86" customFormat="1" ht="63" customHeight="1" x14ac:dyDescent="0.3">
      <c r="A36" s="120">
        <v>7</v>
      </c>
      <c r="B36" s="126" t="s">
        <v>414</v>
      </c>
      <c r="C36" s="117"/>
      <c r="D36" s="122" t="s">
        <v>413</v>
      </c>
      <c r="E36" s="122">
        <v>5</v>
      </c>
      <c r="F36" s="123" t="s">
        <v>390</v>
      </c>
      <c r="G36" s="124" t="s">
        <v>420</v>
      </c>
    </row>
    <row r="37" spans="1:7" s="79" customFormat="1" ht="20.25" x14ac:dyDescent="0.3">
      <c r="A37" s="84"/>
      <c r="B37" s="69"/>
      <c r="C37" s="65"/>
      <c r="D37" s="65"/>
      <c r="E37" s="65"/>
      <c r="F37" s="69"/>
      <c r="G37" s="65"/>
    </row>
    <row r="38" spans="1:7" s="79" customFormat="1" ht="31.15" customHeight="1" x14ac:dyDescent="0.3">
      <c r="A38" s="84"/>
      <c r="B38" s="107" t="s">
        <v>5</v>
      </c>
      <c r="C38" s="127"/>
      <c r="D38" s="127"/>
      <c r="E38" s="127"/>
      <c r="F38" s="128"/>
      <c r="G38" s="129" t="str">
        <f>G14</f>
        <v>Зарубин И.А.</v>
      </c>
    </row>
    <row r="39" spans="1:7" s="79" customFormat="1" ht="22.9" customHeight="1" x14ac:dyDescent="0.3">
      <c r="A39" s="84"/>
      <c r="B39" s="130"/>
      <c r="C39" s="131"/>
      <c r="D39" s="131"/>
      <c r="E39" s="131"/>
      <c r="F39" s="75" t="s">
        <v>404</v>
      </c>
      <c r="G39" s="76" t="s">
        <v>405</v>
      </c>
    </row>
    <row r="40" spans="1:7" s="79" customFormat="1" ht="22.9" customHeight="1" x14ac:dyDescent="0.3">
      <c r="A40" s="84"/>
      <c r="B40" s="107" t="s">
        <v>7</v>
      </c>
      <c r="C40" s="127"/>
      <c r="D40" s="127"/>
      <c r="E40" s="127"/>
      <c r="F40" s="128"/>
      <c r="G40" s="129" t="str">
        <f>G16</f>
        <v>Агеев В.А.</v>
      </c>
    </row>
    <row r="41" spans="1:7" s="79" customFormat="1" ht="22.9" customHeight="1" x14ac:dyDescent="0.3">
      <c r="A41" s="84"/>
      <c r="B41" s="102"/>
      <c r="C41" s="131"/>
      <c r="D41" s="131"/>
      <c r="E41" s="131"/>
      <c r="F41" s="75" t="s">
        <v>404</v>
      </c>
      <c r="G41" s="76" t="s">
        <v>405</v>
      </c>
    </row>
    <row r="42" spans="1:7" s="79" customFormat="1" ht="22.9" customHeight="1" x14ac:dyDescent="0.3">
      <c r="A42" s="84"/>
      <c r="B42" s="109"/>
      <c r="C42" s="127"/>
      <c r="D42" s="127"/>
      <c r="E42" s="127"/>
      <c r="F42" s="128"/>
      <c r="G42" s="129" t="str">
        <f>G18</f>
        <v>Хабаров Д.Б.</v>
      </c>
    </row>
    <row r="43" spans="1:7" s="79" customFormat="1" ht="22.9" customHeight="1" x14ac:dyDescent="0.3">
      <c r="A43" s="84"/>
      <c r="B43" s="102"/>
      <c r="C43" s="131"/>
      <c r="D43" s="131"/>
      <c r="E43" s="131"/>
      <c r="F43" s="75" t="s">
        <v>404</v>
      </c>
      <c r="G43" s="76" t="s">
        <v>405</v>
      </c>
    </row>
    <row r="44" spans="1:7" s="79" customFormat="1" ht="22.9" customHeight="1" x14ac:dyDescent="0.3">
      <c r="A44" s="84"/>
      <c r="B44" s="102"/>
      <c r="C44" s="127"/>
      <c r="D44" s="127"/>
      <c r="E44" s="127"/>
      <c r="F44" s="128"/>
      <c r="G44" s="129" t="str">
        <f>G20</f>
        <v>Ячменев И.Р.</v>
      </c>
    </row>
    <row r="45" spans="1:7" s="79" customFormat="1" ht="22.9" customHeight="1" x14ac:dyDescent="0.3">
      <c r="A45" s="84"/>
      <c r="B45" s="102"/>
      <c r="C45" s="131"/>
      <c r="D45" s="131"/>
      <c r="E45" s="131"/>
      <c r="F45" s="75" t="s">
        <v>404</v>
      </c>
      <c r="G45" s="76" t="s">
        <v>405</v>
      </c>
    </row>
    <row r="46" spans="1:7" s="79" customFormat="1" ht="67.150000000000006" customHeight="1" x14ac:dyDescent="0.3">
      <c r="A46" s="84"/>
      <c r="B46" s="107" t="s">
        <v>391</v>
      </c>
      <c r="C46" s="127"/>
      <c r="D46" s="127"/>
      <c r="E46" s="127"/>
      <c r="F46" s="128"/>
      <c r="G46" s="132" t="str">
        <f>G11</f>
        <v>Чукбар Е.В.</v>
      </c>
    </row>
    <row r="47" spans="1:7" s="79" customFormat="1" ht="22.9" customHeight="1" x14ac:dyDescent="0.3">
      <c r="A47" s="84"/>
      <c r="B47" s="102"/>
      <c r="C47" s="131"/>
      <c r="D47" s="131"/>
      <c r="E47" s="131"/>
      <c r="F47" s="75" t="s">
        <v>404</v>
      </c>
      <c r="G47" s="76" t="s">
        <v>405</v>
      </c>
    </row>
  </sheetData>
  <sheetProtection selectLockedCells="1" selectUnlockedCells="1"/>
  <dataConsolidate/>
  <mergeCells count="14">
    <mergeCell ref="C21:F21"/>
    <mergeCell ref="C18:F18"/>
    <mergeCell ref="C19:F19"/>
    <mergeCell ref="C20:F20"/>
    <mergeCell ref="A1:G1"/>
    <mergeCell ref="C17:F17"/>
    <mergeCell ref="B7:G7"/>
    <mergeCell ref="B8:G8"/>
    <mergeCell ref="C14:F14"/>
    <mergeCell ref="C15:F15"/>
    <mergeCell ref="C16:F16"/>
    <mergeCell ref="C11:F11"/>
    <mergeCell ref="C12:F12"/>
    <mergeCell ref="A11:B11"/>
  </mergeCells>
  <dataValidations xWindow="486" yWindow="795" count="1">
    <dataValidation type="list" allowBlank="1" showInputMessage="1" showErrorMessage="1" sqref="G11">
      <formula1>#REF!</formula1>
    </dataValidation>
  </dataValidations>
  <pageMargins left="0.23622047244094491" right="0.23622047244094491" top="0.35433070866141736" bottom="0.74803149606299213" header="0.31496062992125984" footer="0.31496062992125984"/>
  <pageSetup paperSize="9" scale="62" fitToHeight="2" orientation="portrait" r:id="rId1"/>
  <rowBreaks count="1" manualBreakCount="1">
    <brk id="39" max="6" man="1"/>
  </rowBreaks>
  <colBreaks count="1" manualBreakCount="1">
    <brk id="1" max="44" man="1"/>
  </colBreaks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'!$A$2:$A$35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G14 G20 G18 G16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D26" sqref="D2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262</v>
      </c>
      <c r="B1" s="8" t="s">
        <v>263</v>
      </c>
      <c r="C1" s="8" t="s">
        <v>274</v>
      </c>
      <c r="D1" s="8" t="s">
        <v>287</v>
      </c>
    </row>
    <row r="2" spans="1:4" x14ac:dyDescent="0.25">
      <c r="A2" s="32" t="s">
        <v>256</v>
      </c>
      <c r="B2" s="33" t="s">
        <v>270</v>
      </c>
      <c r="C2" s="6" t="s">
        <v>275</v>
      </c>
      <c r="D2" s="5" t="s">
        <v>104</v>
      </c>
    </row>
    <row r="3" spans="1:4" x14ac:dyDescent="0.25">
      <c r="A3" s="30" t="s">
        <v>253</v>
      </c>
      <c r="B3" s="31" t="s">
        <v>269</v>
      </c>
      <c r="C3" s="6" t="s">
        <v>276</v>
      </c>
      <c r="D3" s="5" t="s">
        <v>134</v>
      </c>
    </row>
    <row r="4" spans="1:4" x14ac:dyDescent="0.25">
      <c r="A4" s="25" t="s">
        <v>243</v>
      </c>
      <c r="B4" s="26" t="s">
        <v>261</v>
      </c>
      <c r="C4" s="6" t="s">
        <v>277</v>
      </c>
      <c r="D4" s="5" t="s">
        <v>138</v>
      </c>
    </row>
    <row r="5" spans="1:4" ht="18" customHeight="1" x14ac:dyDescent="0.25">
      <c r="A5" s="28" t="s">
        <v>250</v>
      </c>
      <c r="B5" s="29" t="s">
        <v>266</v>
      </c>
      <c r="C5" s="20" t="s">
        <v>278</v>
      </c>
      <c r="D5" s="5" t="s">
        <v>143</v>
      </c>
    </row>
    <row r="6" spans="1:4" x14ac:dyDescent="0.25">
      <c r="A6" s="28" t="s">
        <v>251</v>
      </c>
      <c r="B6" s="29" t="s">
        <v>266</v>
      </c>
      <c r="C6" s="6" t="s">
        <v>279</v>
      </c>
      <c r="D6" s="5" t="s">
        <v>146</v>
      </c>
    </row>
    <row r="7" spans="1:4" x14ac:dyDescent="0.25">
      <c r="A7" s="30" t="s">
        <v>254</v>
      </c>
      <c r="B7" s="31" t="s">
        <v>269</v>
      </c>
      <c r="C7" s="6" t="s">
        <v>280</v>
      </c>
      <c r="D7" s="5" t="s">
        <v>132</v>
      </c>
    </row>
    <row r="8" spans="1:4" x14ac:dyDescent="0.25">
      <c r="A8" s="28" t="s">
        <v>249</v>
      </c>
      <c r="B8" s="29" t="s">
        <v>266</v>
      </c>
      <c r="C8" s="6" t="s">
        <v>281</v>
      </c>
      <c r="D8" s="5" t="s">
        <v>139</v>
      </c>
    </row>
    <row r="9" spans="1:4" s="21" customFormat="1" ht="14.45" customHeight="1" x14ac:dyDescent="0.25">
      <c r="A9" s="28" t="s">
        <v>248</v>
      </c>
      <c r="B9" s="29" t="s">
        <v>266</v>
      </c>
      <c r="C9" s="20" t="s">
        <v>282</v>
      </c>
      <c r="D9" s="5" t="s">
        <v>133</v>
      </c>
    </row>
    <row r="10" spans="1:4" x14ac:dyDescent="0.25">
      <c r="A10" s="28" t="s">
        <v>252</v>
      </c>
      <c r="B10" s="29" t="s">
        <v>266</v>
      </c>
      <c r="C10" s="6" t="s">
        <v>283</v>
      </c>
      <c r="D10" s="5" t="s">
        <v>140</v>
      </c>
    </row>
    <row r="11" spans="1:4" x14ac:dyDescent="0.25">
      <c r="A11" s="25" t="s">
        <v>242</v>
      </c>
      <c r="B11" s="26" t="s">
        <v>261</v>
      </c>
      <c r="C11" s="6" t="s">
        <v>284</v>
      </c>
      <c r="D11" s="5" t="s">
        <v>147</v>
      </c>
    </row>
    <row r="12" spans="1:4" x14ac:dyDescent="0.25">
      <c r="A12" s="27" t="s">
        <v>236</v>
      </c>
      <c r="B12" s="27" t="s">
        <v>261</v>
      </c>
      <c r="C12" s="6" t="s">
        <v>285</v>
      </c>
      <c r="D12" s="5" t="s">
        <v>135</v>
      </c>
    </row>
    <row r="13" spans="1:4" x14ac:dyDescent="0.25">
      <c r="A13" s="25" t="s">
        <v>246</v>
      </c>
      <c r="B13" s="26" t="s">
        <v>261</v>
      </c>
      <c r="C13" s="6" t="s">
        <v>286</v>
      </c>
      <c r="D13" s="5" t="s">
        <v>137</v>
      </c>
    </row>
    <row r="14" spans="1:4" x14ac:dyDescent="0.25">
      <c r="A14" s="25" t="s">
        <v>234</v>
      </c>
      <c r="B14" s="26" t="s">
        <v>261</v>
      </c>
      <c r="D14" s="5" t="s">
        <v>93</v>
      </c>
    </row>
    <row r="15" spans="1:4" x14ac:dyDescent="0.25">
      <c r="A15" s="25" t="s">
        <v>245</v>
      </c>
      <c r="B15" s="26" t="s">
        <v>261</v>
      </c>
      <c r="C15" s="6"/>
      <c r="D15" s="5" t="s">
        <v>110</v>
      </c>
    </row>
    <row r="16" spans="1:4" x14ac:dyDescent="0.25">
      <c r="A16" s="25" t="s">
        <v>239</v>
      </c>
      <c r="B16" s="26" t="s">
        <v>261</v>
      </c>
      <c r="D16" s="5" t="s">
        <v>136</v>
      </c>
    </row>
    <row r="17" spans="1:4" x14ac:dyDescent="0.25">
      <c r="A17" s="25" t="s">
        <v>237</v>
      </c>
      <c r="B17" s="26" t="s">
        <v>261</v>
      </c>
      <c r="D17" s="5" t="s">
        <v>145</v>
      </c>
    </row>
    <row r="18" spans="1:4" x14ac:dyDescent="0.25">
      <c r="A18" s="25" t="s">
        <v>238</v>
      </c>
      <c r="B18" s="26" t="s">
        <v>261</v>
      </c>
      <c r="D18" s="5" t="s">
        <v>142</v>
      </c>
    </row>
    <row r="19" spans="1:4" x14ac:dyDescent="0.25">
      <c r="A19" s="25" t="s">
        <v>231</v>
      </c>
      <c r="B19" s="26" t="s">
        <v>261</v>
      </c>
      <c r="D19" s="5" t="s">
        <v>144</v>
      </c>
    </row>
    <row r="20" spans="1:4" x14ac:dyDescent="0.25">
      <c r="A20" s="25" t="s">
        <v>260</v>
      </c>
      <c r="B20" s="26" t="s">
        <v>261</v>
      </c>
      <c r="D20" s="5" t="s">
        <v>94</v>
      </c>
    </row>
    <row r="21" spans="1:4" ht="15.75" customHeight="1" x14ac:dyDescent="0.25">
      <c r="A21" s="25" t="s">
        <v>241</v>
      </c>
      <c r="B21" s="26" t="s">
        <v>261</v>
      </c>
      <c r="C21" s="6"/>
      <c r="D21" s="5" t="s">
        <v>348</v>
      </c>
    </row>
    <row r="22" spans="1:4" x14ac:dyDescent="0.25">
      <c r="A22" s="25" t="s">
        <v>240</v>
      </c>
      <c r="B22" s="26" t="s">
        <v>261</v>
      </c>
      <c r="D22" s="5" t="s">
        <v>303</v>
      </c>
    </row>
    <row r="23" spans="1:4" x14ac:dyDescent="0.25">
      <c r="A23" s="34" t="s">
        <v>257</v>
      </c>
      <c r="B23" s="35" t="s">
        <v>271</v>
      </c>
      <c r="C23" s="5"/>
      <c r="D23" s="5" t="s">
        <v>292</v>
      </c>
    </row>
    <row r="24" spans="1:4" x14ac:dyDescent="0.25">
      <c r="A24" s="25" t="s">
        <v>265</v>
      </c>
      <c r="B24" s="26" t="s">
        <v>261</v>
      </c>
      <c r="C24" s="6"/>
      <c r="D24" s="5" t="s">
        <v>141</v>
      </c>
    </row>
    <row r="25" spans="1:4" x14ac:dyDescent="0.25">
      <c r="A25" s="25" t="s">
        <v>247</v>
      </c>
      <c r="B25" s="26" t="s">
        <v>261</v>
      </c>
      <c r="C25" s="6"/>
      <c r="D25" s="5" t="s">
        <v>112</v>
      </c>
    </row>
    <row r="26" spans="1:4" x14ac:dyDescent="0.25">
      <c r="A26" s="25" t="s">
        <v>264</v>
      </c>
      <c r="B26" s="26" t="s">
        <v>261</v>
      </c>
      <c r="D26" s="7" t="s">
        <v>368</v>
      </c>
    </row>
    <row r="27" spans="1:4" x14ac:dyDescent="0.25">
      <c r="A27" s="28" t="s">
        <v>267</v>
      </c>
      <c r="B27" s="29" t="s">
        <v>266</v>
      </c>
      <c r="C27" s="5"/>
      <c r="D27" s="7"/>
    </row>
    <row r="28" spans="1:4" x14ac:dyDescent="0.25">
      <c r="A28" s="25" t="s">
        <v>232</v>
      </c>
      <c r="B28" s="26" t="s">
        <v>261</v>
      </c>
      <c r="D28" s="7"/>
    </row>
    <row r="29" spans="1:4" x14ac:dyDescent="0.25">
      <c r="A29" s="27" t="s">
        <v>233</v>
      </c>
      <c r="B29" s="27" t="s">
        <v>261</v>
      </c>
      <c r="D29" s="7"/>
    </row>
    <row r="30" spans="1:4" x14ac:dyDescent="0.25">
      <c r="A30" s="36" t="s">
        <v>258</v>
      </c>
      <c r="B30" s="37" t="s">
        <v>272</v>
      </c>
      <c r="C30" s="5"/>
      <c r="D30" s="7"/>
    </row>
    <row r="31" spans="1:4" x14ac:dyDescent="0.25">
      <c r="A31" s="38" t="s">
        <v>259</v>
      </c>
      <c r="B31" s="39" t="s">
        <v>273</v>
      </c>
      <c r="C31" s="5"/>
      <c r="D31" s="7"/>
    </row>
    <row r="32" spans="1:4" x14ac:dyDescent="0.25">
      <c r="A32" s="25" t="s">
        <v>244</v>
      </c>
      <c r="B32" s="26" t="s">
        <v>261</v>
      </c>
      <c r="C32" s="6"/>
      <c r="D32" s="7"/>
    </row>
    <row r="33" spans="1:4" x14ac:dyDescent="0.25">
      <c r="A33" s="30" t="s">
        <v>268</v>
      </c>
      <c r="B33" s="31" t="s">
        <v>269</v>
      </c>
      <c r="C33" s="5"/>
      <c r="D33" s="7"/>
    </row>
    <row r="34" spans="1:4" x14ac:dyDescent="0.25">
      <c r="A34" s="25" t="s">
        <v>235</v>
      </c>
      <c r="B34" s="26" t="s">
        <v>261</v>
      </c>
      <c r="D34" s="7"/>
    </row>
    <row r="35" spans="1:4" x14ac:dyDescent="0.25">
      <c r="A35" s="30" t="s">
        <v>255</v>
      </c>
      <c r="B35" s="31" t="s">
        <v>269</v>
      </c>
      <c r="C35" s="5"/>
      <c r="D35" s="7"/>
    </row>
    <row r="36" spans="1:4" x14ac:dyDescent="0.25">
      <c r="A36" s="5"/>
      <c r="B36" s="5"/>
      <c r="C36" s="5"/>
      <c r="D36" s="7"/>
    </row>
    <row r="37" spans="1:4" x14ac:dyDescent="0.25">
      <c r="A37" s="5"/>
      <c r="B37" s="5"/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C2" zoomScaleNormal="100" workbookViewId="0">
      <selection activeCell="D38" sqref="D38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2" customWidth="1"/>
    <col min="5" max="5" width="63.85546875" style="52" customWidth="1"/>
    <col min="6" max="6" width="74.140625" style="52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90</v>
      </c>
      <c r="B1" s="42" t="s">
        <v>91</v>
      </c>
      <c r="C1" s="53" t="s">
        <v>92</v>
      </c>
      <c r="D1" s="47" t="s">
        <v>351</v>
      </c>
      <c r="E1" s="54" t="s">
        <v>288</v>
      </c>
      <c r="F1" s="54" t="s">
        <v>289</v>
      </c>
    </row>
    <row r="2" spans="1:15" s="2" customFormat="1" ht="14.25" customHeight="1" x14ac:dyDescent="0.2">
      <c r="A2" s="15"/>
      <c r="B2" s="14" t="s">
        <v>148</v>
      </c>
      <c r="C2" s="46" t="s">
        <v>75</v>
      </c>
      <c r="D2" s="48" t="str">
        <f t="shared" ref="D2:D44" si="0">LEFT(C2,FIND(" ",C2,1)+1)&amp;"."&amp;MID(C2,FIND(" ",C2,FIND(" ",C2,1)+1)+1,1)&amp;"."</f>
        <v>Агаревский А.Н.</v>
      </c>
      <c r="E2" s="55" t="s">
        <v>99</v>
      </c>
      <c r="F2" s="55" t="s">
        <v>93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149</v>
      </c>
      <c r="C3" s="46" t="s">
        <v>55</v>
      </c>
      <c r="D3" s="48" t="str">
        <f t="shared" si="0"/>
        <v>Агеев В.А.</v>
      </c>
      <c r="E3" s="55" t="s">
        <v>33</v>
      </c>
      <c r="F3" s="55" t="s">
        <v>132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150</v>
      </c>
      <c r="C4" s="46" t="s">
        <v>32</v>
      </c>
      <c r="D4" s="48" t="str">
        <f t="shared" si="0"/>
        <v>Агеев Ю.С.</v>
      </c>
      <c r="E4" s="55" t="s">
        <v>33</v>
      </c>
      <c r="F4" s="55" t="s">
        <v>133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8" t="s">
        <v>290</v>
      </c>
      <c r="D5" s="48" t="str">
        <f t="shared" si="0"/>
        <v>Антимонов В.С.</v>
      </c>
      <c r="E5" s="45" t="s">
        <v>228</v>
      </c>
      <c r="F5" s="45" t="s">
        <v>292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151</v>
      </c>
      <c r="C6" s="46" t="s">
        <v>113</v>
      </c>
      <c r="D6" s="48" t="str">
        <f t="shared" si="0"/>
        <v>Апанасик Д.А.</v>
      </c>
      <c r="E6" s="55" t="s">
        <v>105</v>
      </c>
      <c r="F6" s="55" t="s">
        <v>104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102</v>
      </c>
      <c r="C7" s="46" t="s">
        <v>103</v>
      </c>
      <c r="D7" s="48" t="str">
        <f t="shared" si="0"/>
        <v>Атанов В.В.</v>
      </c>
      <c r="E7" s="55" t="s">
        <v>393</v>
      </c>
      <c r="F7" s="55" t="s">
        <v>104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152</v>
      </c>
      <c r="C8" s="46" t="s">
        <v>34</v>
      </c>
      <c r="D8" s="48" t="str">
        <f t="shared" si="0"/>
        <v>Ашихмин А.А.</v>
      </c>
      <c r="E8" s="55" t="s">
        <v>394</v>
      </c>
      <c r="F8" s="55" t="s">
        <v>133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8" t="s">
        <v>294</v>
      </c>
      <c r="D9" s="48" t="str">
        <f t="shared" si="0"/>
        <v>Бабич Л.Н.</v>
      </c>
      <c r="E9" s="45" t="s">
        <v>228</v>
      </c>
      <c r="F9" s="45" t="s">
        <v>292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8" t="s">
        <v>386</v>
      </c>
      <c r="D10" s="48" t="str">
        <f t="shared" si="0"/>
        <v>Бастун О.С.</v>
      </c>
      <c r="E10" s="55" t="s">
        <v>59</v>
      </c>
      <c r="F10" s="55" t="s">
        <v>138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153</v>
      </c>
      <c r="C11" s="46" t="s">
        <v>40</v>
      </c>
      <c r="D11" s="48" t="str">
        <f t="shared" si="0"/>
        <v>Бишов И.И.</v>
      </c>
      <c r="E11" s="55" t="s">
        <v>41</v>
      </c>
      <c r="F11" s="55" t="s">
        <v>134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154</v>
      </c>
      <c r="C12" s="46" t="s">
        <v>24</v>
      </c>
      <c r="D12" s="48" t="str">
        <f t="shared" si="0"/>
        <v>Богосян С.В.</v>
      </c>
      <c r="E12" s="55" t="s">
        <v>25</v>
      </c>
      <c r="F12" s="55" t="s">
        <v>135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155</v>
      </c>
      <c r="C13" s="46" t="s">
        <v>23</v>
      </c>
      <c r="D13" s="48" t="str">
        <f t="shared" si="0"/>
        <v>Боровик Г.В.</v>
      </c>
      <c r="E13" s="55" t="s">
        <v>33</v>
      </c>
      <c r="F13" s="55" t="s">
        <v>135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6" t="s">
        <v>375</v>
      </c>
      <c r="D14" s="48" t="str">
        <f t="shared" si="0"/>
        <v>Брайко В.С.</v>
      </c>
      <c r="E14" s="55" t="s">
        <v>395</v>
      </c>
      <c r="F14" s="55" t="s">
        <v>142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106</v>
      </c>
      <c r="C15" s="46" t="s">
        <v>27</v>
      </c>
      <c r="D15" s="48" t="str">
        <f t="shared" si="0"/>
        <v>Брюхов Н.А.</v>
      </c>
      <c r="E15" s="55" t="s">
        <v>97</v>
      </c>
      <c r="F15" s="55" t="s">
        <v>136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156</v>
      </c>
      <c r="C16" s="46" t="s">
        <v>77</v>
      </c>
      <c r="D16" s="48" t="str">
        <f t="shared" si="0"/>
        <v>Бугров В.В.</v>
      </c>
      <c r="E16" s="55" t="s">
        <v>97</v>
      </c>
      <c r="F16" s="55" t="s">
        <v>137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157</v>
      </c>
      <c r="C17" s="46" t="s">
        <v>58</v>
      </c>
      <c r="D17" s="48" t="str">
        <f t="shared" si="0"/>
        <v>Буняк А.А.</v>
      </c>
      <c r="E17" s="55" t="s">
        <v>59</v>
      </c>
      <c r="F17" s="55" t="s">
        <v>138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158</v>
      </c>
      <c r="C18" s="46" t="s">
        <v>28</v>
      </c>
      <c r="D18" s="48" t="str">
        <f t="shared" si="0"/>
        <v>Бурдин В.В.</v>
      </c>
      <c r="E18" s="55" t="s">
        <v>33</v>
      </c>
      <c r="F18" s="55" t="s">
        <v>136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8" t="s">
        <v>367</v>
      </c>
      <c r="D19" s="48" t="str">
        <f t="shared" si="0"/>
        <v>Бурова А.С.</v>
      </c>
      <c r="E19" s="45" t="s">
        <v>366</v>
      </c>
      <c r="F19" s="45" t="s">
        <v>110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315</v>
      </c>
      <c r="C20" s="48" t="s">
        <v>306</v>
      </c>
      <c r="D20" s="48" t="str">
        <f t="shared" si="0"/>
        <v>Буянов В.Н.</v>
      </c>
      <c r="E20" s="45" t="s">
        <v>123</v>
      </c>
      <c r="F20" s="45" t="s">
        <v>135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159</v>
      </c>
      <c r="C21" s="46" t="s">
        <v>50</v>
      </c>
      <c r="D21" s="48" t="str">
        <f t="shared" si="0"/>
        <v>Верескунов А.Н.</v>
      </c>
      <c r="E21" s="55" t="s">
        <v>362</v>
      </c>
      <c r="F21" s="55" t="s">
        <v>139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160</v>
      </c>
      <c r="C22" s="46" t="s">
        <v>35</v>
      </c>
      <c r="D22" s="48" t="str">
        <f t="shared" si="0"/>
        <v>Виницкий А.А.</v>
      </c>
      <c r="E22" s="55" t="s">
        <v>394</v>
      </c>
      <c r="F22" s="55" t="s">
        <v>140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161</v>
      </c>
      <c r="C23" s="46" t="s">
        <v>26</v>
      </c>
      <c r="D23" s="48" t="str">
        <f t="shared" si="0"/>
        <v>Волочок А.П.</v>
      </c>
      <c r="E23" s="55" t="s">
        <v>25</v>
      </c>
      <c r="F23" s="55" t="s">
        <v>135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162</v>
      </c>
      <c r="C24" s="46" t="s">
        <v>42</v>
      </c>
      <c r="D24" s="48" t="str">
        <f t="shared" si="0"/>
        <v>Воробьев Г.Г.</v>
      </c>
      <c r="E24" s="55" t="s">
        <v>41</v>
      </c>
      <c r="F24" s="55" t="s">
        <v>141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6" t="s">
        <v>376</v>
      </c>
      <c r="D25" s="48" t="str">
        <f t="shared" si="0"/>
        <v>Воротов А.А.</v>
      </c>
      <c r="E25" s="55" t="s">
        <v>111</v>
      </c>
      <c r="F25" s="55" t="s">
        <v>144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163</v>
      </c>
      <c r="C26" s="46" t="s">
        <v>114</v>
      </c>
      <c r="D26" s="48" t="str">
        <f t="shared" si="0"/>
        <v>Гаврилов А.Л.</v>
      </c>
      <c r="E26" s="55" t="s">
        <v>97</v>
      </c>
      <c r="F26" s="55" t="s">
        <v>142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164</v>
      </c>
      <c r="C27" s="46" t="s">
        <v>30</v>
      </c>
      <c r="D27" s="48" t="str">
        <f t="shared" si="0"/>
        <v>Гаврилюк Л.А.</v>
      </c>
      <c r="E27" s="55" t="s">
        <v>33</v>
      </c>
      <c r="F27" s="55" t="s">
        <v>141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165</v>
      </c>
      <c r="C28" s="46" t="s">
        <v>65</v>
      </c>
      <c r="D28" s="48" t="str">
        <f t="shared" si="0"/>
        <v>Гашев А.А.</v>
      </c>
      <c r="E28" s="55" t="s">
        <v>395</v>
      </c>
      <c r="F28" s="55" t="s">
        <v>142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6" t="s">
        <v>378</v>
      </c>
      <c r="D29" s="48" t="str">
        <f t="shared" si="0"/>
        <v>Гетманов В.Ю.</v>
      </c>
      <c r="E29" s="55" t="s">
        <v>379</v>
      </c>
      <c r="F29" s="55" t="s">
        <v>141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166</v>
      </c>
      <c r="C30" s="46" t="s">
        <v>88</v>
      </c>
      <c r="D30" s="48" t="str">
        <f t="shared" si="0"/>
        <v>Гильманов Р.Д.</v>
      </c>
      <c r="E30" s="55" t="s">
        <v>123</v>
      </c>
      <c r="F30" s="55" t="s">
        <v>135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8" t="s">
        <v>339</v>
      </c>
      <c r="D31" s="48" t="str">
        <f t="shared" si="0"/>
        <v>Гниломедов О.Е.</v>
      </c>
      <c r="E31" s="45" t="s">
        <v>340</v>
      </c>
      <c r="F31" s="45" t="s">
        <v>292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167</v>
      </c>
      <c r="C32" s="46" t="s">
        <v>89</v>
      </c>
      <c r="D32" s="48" t="str">
        <f t="shared" si="0"/>
        <v>Головкин П.Г.</v>
      </c>
      <c r="E32" s="55" t="s">
        <v>123</v>
      </c>
      <c r="F32" s="55" t="s">
        <v>135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168</v>
      </c>
      <c r="C33" s="46" t="s">
        <v>66</v>
      </c>
      <c r="D33" s="48" t="str">
        <f t="shared" si="0"/>
        <v>Голошапов В.Н.</v>
      </c>
      <c r="E33" s="55" t="s">
        <v>67</v>
      </c>
      <c r="F33" s="55" t="s">
        <v>142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169</v>
      </c>
      <c r="C34" s="46" t="s">
        <v>43</v>
      </c>
      <c r="D34" s="48" t="str">
        <f t="shared" si="0"/>
        <v>Горшков А.А.</v>
      </c>
      <c r="E34" s="55" t="s">
        <v>41</v>
      </c>
      <c r="F34" s="55" t="s">
        <v>134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170</v>
      </c>
      <c r="C35" s="46" t="s">
        <v>51</v>
      </c>
      <c r="D35" s="48" t="str">
        <f t="shared" si="0"/>
        <v>Грак В.М.</v>
      </c>
      <c r="E35" s="55" t="s">
        <v>33</v>
      </c>
      <c r="F35" s="55" t="s">
        <v>139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171</v>
      </c>
      <c r="C36" s="46" t="s">
        <v>38</v>
      </c>
      <c r="D36" s="48" t="str">
        <f t="shared" si="0"/>
        <v>Губин Д.В.</v>
      </c>
      <c r="E36" s="55" t="s">
        <v>396</v>
      </c>
      <c r="F36" s="55" t="s">
        <v>104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172</v>
      </c>
      <c r="C37" s="46" t="s">
        <v>31</v>
      </c>
      <c r="D37" s="48" t="str">
        <f t="shared" si="0"/>
        <v>Данилко А.В.</v>
      </c>
      <c r="E37" s="55" t="s">
        <v>124</v>
      </c>
      <c r="F37" s="55" t="s">
        <v>133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173</v>
      </c>
      <c r="C38" s="46" t="s">
        <v>78</v>
      </c>
      <c r="D38" s="48" t="str">
        <f t="shared" si="0"/>
        <v>Данилов С.А.</v>
      </c>
      <c r="E38" s="55" t="s">
        <v>124</v>
      </c>
      <c r="F38" s="55" t="s">
        <v>140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174</v>
      </c>
      <c r="C39" s="46" t="s">
        <v>20</v>
      </c>
      <c r="D39" s="48" t="str">
        <f t="shared" si="0"/>
        <v>Дейнека Д.Ю.</v>
      </c>
      <c r="E39" s="55" t="s">
        <v>33</v>
      </c>
      <c r="F39" s="55" t="s">
        <v>135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175</v>
      </c>
      <c r="C40" s="46" t="s">
        <v>115</v>
      </c>
      <c r="D40" s="48" t="str">
        <f t="shared" si="0"/>
        <v>Демченко А.М.</v>
      </c>
      <c r="E40" s="55" t="s">
        <v>125</v>
      </c>
      <c r="F40" s="55" t="s">
        <v>143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176</v>
      </c>
      <c r="C41" s="46" t="s">
        <v>79</v>
      </c>
      <c r="D41" s="48" t="str">
        <f t="shared" si="0"/>
        <v>Демченко Е.М.</v>
      </c>
      <c r="E41" s="55" t="s">
        <v>124</v>
      </c>
      <c r="F41" s="55" t="s">
        <v>143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177</v>
      </c>
      <c r="C42" s="46" t="s">
        <v>49</v>
      </c>
      <c r="D42" s="48" t="str">
        <f t="shared" si="0"/>
        <v>Дерусов И.В.</v>
      </c>
      <c r="E42" s="55" t="s">
        <v>124</v>
      </c>
      <c r="F42" s="55" t="s">
        <v>139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8" t="s">
        <v>384</v>
      </c>
      <c r="D43" s="48" t="str">
        <f t="shared" si="0"/>
        <v>Джафарова З.Ф.</v>
      </c>
      <c r="E43" s="45" t="s">
        <v>123</v>
      </c>
      <c r="F43" s="45" t="s">
        <v>135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178</v>
      </c>
      <c r="C44" s="46" t="s">
        <v>39</v>
      </c>
      <c r="D44" s="48" t="str">
        <f t="shared" si="0"/>
        <v>Долгеров А.В.</v>
      </c>
      <c r="E44" s="55" t="s">
        <v>126</v>
      </c>
      <c r="F44" s="55" t="s">
        <v>134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8" t="s">
        <v>336</v>
      </c>
      <c r="D45" s="48" t="s">
        <v>336</v>
      </c>
      <c r="E45" s="45" t="s">
        <v>337</v>
      </c>
      <c r="F45" s="45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179</v>
      </c>
      <c r="C46" s="46" t="s">
        <v>19</v>
      </c>
      <c r="D46" s="48" t="str">
        <f t="shared" ref="D46:D84" si="1">LEFT(C46,FIND(" ",C46,1)+1)&amp;"."&amp;MID(C46,FIND(" ",C46,FIND(" ",C46,1)+1)+1,1)&amp;"."</f>
        <v>Дятленко А.М.</v>
      </c>
      <c r="E46" s="55" t="s">
        <v>33</v>
      </c>
      <c r="F46" s="55" t="s">
        <v>135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180</v>
      </c>
      <c r="C47" s="46" t="s">
        <v>116</v>
      </c>
      <c r="D47" s="48" t="str">
        <f t="shared" si="1"/>
        <v>Евсеенко Н.П.</v>
      </c>
      <c r="E47" s="55" t="s">
        <v>392</v>
      </c>
      <c r="F47" s="55" t="s">
        <v>142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8" t="s">
        <v>364</v>
      </c>
      <c r="D48" s="48" t="str">
        <f t="shared" si="1"/>
        <v>Елисеева Т.Н.</v>
      </c>
      <c r="E48" s="45" t="s">
        <v>365</v>
      </c>
      <c r="F48" s="45" t="s">
        <v>110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181</v>
      </c>
      <c r="C49" s="46" t="s">
        <v>68</v>
      </c>
      <c r="D49" s="48" t="str">
        <f t="shared" si="1"/>
        <v>Ельчанинов М.Н.</v>
      </c>
      <c r="E49" s="55" t="s">
        <v>395</v>
      </c>
      <c r="F49" s="55" t="s">
        <v>142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8" t="s">
        <v>291</v>
      </c>
      <c r="D50" s="48" t="str">
        <f t="shared" si="1"/>
        <v>Жупанов А.В.</v>
      </c>
      <c r="E50" s="45" t="s">
        <v>229</v>
      </c>
      <c r="F50" s="45" t="s">
        <v>292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8" t="s">
        <v>387</v>
      </c>
      <c r="D51" s="48" t="str">
        <f t="shared" si="1"/>
        <v>Завгородний К.Т.</v>
      </c>
      <c r="E51" s="45" t="s">
        <v>395</v>
      </c>
      <c r="F51" s="45" t="s">
        <v>142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8" t="s">
        <v>397</v>
      </c>
      <c r="D52" s="48" t="str">
        <f t="shared" si="1"/>
        <v>Зарубин И.А.</v>
      </c>
      <c r="E52" s="74" t="s">
        <v>398</v>
      </c>
      <c r="F52" s="55" t="s">
        <v>104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8" t="s">
        <v>298</v>
      </c>
      <c r="D53" s="48" t="str">
        <f t="shared" si="1"/>
        <v>Зморович Р.И.</v>
      </c>
      <c r="E53" s="45" t="s">
        <v>228</v>
      </c>
      <c r="F53" s="45" t="s">
        <v>292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8" t="s">
        <v>399</v>
      </c>
      <c r="D54" s="48" t="str">
        <f t="shared" si="1"/>
        <v>Ильин А.А.</v>
      </c>
      <c r="E54" s="45" t="s">
        <v>362</v>
      </c>
      <c r="F54" s="55" t="s">
        <v>139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182</v>
      </c>
      <c r="C55" s="46" t="s">
        <v>86</v>
      </c>
      <c r="D55" s="48" t="str">
        <f t="shared" si="1"/>
        <v>Инугаев В.О.</v>
      </c>
      <c r="E55" s="55" t="s">
        <v>400</v>
      </c>
      <c r="F55" s="55" t="s">
        <v>104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183</v>
      </c>
      <c r="C56" s="46" t="s">
        <v>87</v>
      </c>
      <c r="D56" s="48" t="str">
        <f t="shared" si="1"/>
        <v>Калинин А.А.</v>
      </c>
      <c r="E56" s="55" t="s">
        <v>123</v>
      </c>
      <c r="F56" s="55" t="s">
        <v>135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183</v>
      </c>
      <c r="C57" s="48" t="s">
        <v>87</v>
      </c>
      <c r="D57" s="48" t="str">
        <f t="shared" si="1"/>
        <v>Калинин А.А.</v>
      </c>
      <c r="E57" s="45" t="s">
        <v>123</v>
      </c>
      <c r="F57" s="45" t="s">
        <v>135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184</v>
      </c>
      <c r="C58" s="46" t="s">
        <v>117</v>
      </c>
      <c r="D58" s="48" t="str">
        <f t="shared" si="1"/>
        <v>Карлин П.Г.</v>
      </c>
      <c r="E58" s="55" t="s">
        <v>97</v>
      </c>
      <c r="F58" s="55" t="s">
        <v>144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6" t="s">
        <v>118</v>
      </c>
      <c r="D59" s="48" t="str">
        <f t="shared" si="1"/>
        <v>Катаев Р.Н.</v>
      </c>
      <c r="E59" s="55" t="s">
        <v>97</v>
      </c>
      <c r="F59" s="55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8" t="s">
        <v>349</v>
      </c>
      <c r="D60" s="48" t="str">
        <f t="shared" si="1"/>
        <v>Кириллов М.А.</v>
      </c>
      <c r="E60" s="45" t="s">
        <v>350</v>
      </c>
      <c r="F60" s="45" t="s">
        <v>292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186</v>
      </c>
      <c r="C61" s="46" t="s">
        <v>80</v>
      </c>
      <c r="D61" s="48" t="str">
        <f t="shared" si="1"/>
        <v>Кирка М.В.</v>
      </c>
      <c r="E61" s="55" t="s">
        <v>97</v>
      </c>
      <c r="F61" s="55" t="s">
        <v>112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6" t="s">
        <v>60</v>
      </c>
      <c r="D62" s="48" t="str">
        <f t="shared" si="1"/>
        <v>Ковалев Д.А.</v>
      </c>
      <c r="E62" s="55" t="s">
        <v>127</v>
      </c>
      <c r="F62" s="55" t="s">
        <v>138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6" t="s">
        <v>76</v>
      </c>
      <c r="D63" s="48" t="str">
        <f t="shared" si="1"/>
        <v>Ковалева Л.В.</v>
      </c>
      <c r="E63" s="55" t="s">
        <v>128</v>
      </c>
      <c r="F63" s="55" t="s">
        <v>93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6" t="s">
        <v>401</v>
      </c>
      <c r="D64" s="48" t="str">
        <f t="shared" si="1"/>
        <v>Кононенко О.В.</v>
      </c>
      <c r="E64" s="45" t="s">
        <v>123</v>
      </c>
      <c r="F64" s="45" t="s">
        <v>135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323</v>
      </c>
      <c r="C65" s="48" t="s">
        <v>322</v>
      </c>
      <c r="D65" s="48" t="str">
        <f t="shared" si="1"/>
        <v>Коробкин А.В.</v>
      </c>
      <c r="E65" s="45" t="s">
        <v>123</v>
      </c>
      <c r="F65" s="45" t="s">
        <v>135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333</v>
      </c>
      <c r="C66" s="48" t="s">
        <v>332</v>
      </c>
      <c r="D66" s="48" t="str">
        <f t="shared" si="1"/>
        <v>Коробко С.В.</v>
      </c>
      <c r="E66" s="45" t="s">
        <v>123</v>
      </c>
      <c r="F66" s="45" t="s">
        <v>135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189</v>
      </c>
      <c r="C67" s="46" t="s">
        <v>16</v>
      </c>
      <c r="D67" s="48" t="str">
        <f t="shared" si="1"/>
        <v>Королев Л.В.</v>
      </c>
      <c r="E67" s="55" t="s">
        <v>6</v>
      </c>
      <c r="F67" s="55" t="s">
        <v>104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6" t="s">
        <v>81</v>
      </c>
      <c r="D68" s="48" t="str">
        <f t="shared" si="1"/>
        <v>Котельников Д.А.</v>
      </c>
      <c r="E68" s="55" t="s">
        <v>124</v>
      </c>
      <c r="F68" s="55" t="s">
        <v>146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6" t="s">
        <v>52</v>
      </c>
      <c r="D69" s="48" t="str">
        <f t="shared" si="1"/>
        <v>Кочеров Д.А.</v>
      </c>
      <c r="E69" s="55" t="s">
        <v>362</v>
      </c>
      <c r="F69" s="55" t="s">
        <v>139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6" t="s">
        <v>48</v>
      </c>
      <c r="D70" s="48" t="str">
        <f t="shared" si="1"/>
        <v>Кравченко В.П.</v>
      </c>
      <c r="E70" s="55" t="s">
        <v>124</v>
      </c>
      <c r="F70" s="55" t="s">
        <v>147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6" t="s">
        <v>36</v>
      </c>
      <c r="D71" s="48" t="str">
        <f t="shared" si="1"/>
        <v>Крупинов Е.В.</v>
      </c>
      <c r="E71" s="55" t="s">
        <v>394</v>
      </c>
      <c r="F71" s="55" t="s">
        <v>133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346</v>
      </c>
      <c r="C72" s="48" t="s">
        <v>345</v>
      </c>
      <c r="D72" s="48" t="str">
        <f t="shared" si="1"/>
        <v>Кудрявцев Д.М.</v>
      </c>
      <c r="E72" s="45" t="s">
        <v>123</v>
      </c>
      <c r="F72" s="45" t="s">
        <v>135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8" t="s">
        <v>297</v>
      </c>
      <c r="D73" s="48" t="str">
        <f t="shared" si="1"/>
        <v>Кузнецов А.О.</v>
      </c>
      <c r="E73" s="45" t="s">
        <v>229</v>
      </c>
      <c r="F73" s="45" t="s">
        <v>292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194</v>
      </c>
      <c r="C74" s="46" t="s">
        <v>53</v>
      </c>
      <c r="D74" s="48" t="str">
        <f t="shared" si="1"/>
        <v>Лазарев С.В.</v>
      </c>
      <c r="E74" s="55" t="s">
        <v>362</v>
      </c>
      <c r="F74" s="55" t="s">
        <v>139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344</v>
      </c>
      <c r="C75" s="48" t="s">
        <v>343</v>
      </c>
      <c r="D75" s="48" t="str">
        <f t="shared" si="1"/>
        <v>Ларионов А.Н.</v>
      </c>
      <c r="E75" s="45" t="s">
        <v>123</v>
      </c>
      <c r="F75" s="45" t="s">
        <v>135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313</v>
      </c>
      <c r="C76" s="48" t="s">
        <v>305</v>
      </c>
      <c r="D76" s="48" t="str">
        <f t="shared" si="1"/>
        <v>Лебедев М.Н.</v>
      </c>
      <c r="E76" s="45" t="s">
        <v>123</v>
      </c>
      <c r="F76" s="45" t="s">
        <v>135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8" t="s">
        <v>402</v>
      </c>
      <c r="D77" s="48" t="str">
        <f t="shared" si="1"/>
        <v>Левченко К.А.</v>
      </c>
      <c r="E77" s="55" t="s">
        <v>33</v>
      </c>
      <c r="F77" s="55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8" t="s">
        <v>296</v>
      </c>
      <c r="D78" s="48" t="str">
        <f t="shared" si="1"/>
        <v>Летов А.К.</v>
      </c>
      <c r="E78" s="45" t="s">
        <v>228</v>
      </c>
      <c r="F78" s="45" t="s">
        <v>292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195</v>
      </c>
      <c r="C79" s="46" t="s">
        <v>56</v>
      </c>
      <c r="D79" s="48" t="str">
        <f t="shared" si="1"/>
        <v>Линев А.В.</v>
      </c>
      <c r="E79" s="55" t="s">
        <v>33</v>
      </c>
      <c r="F79" s="55" t="s">
        <v>132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8" t="s">
        <v>299</v>
      </c>
      <c r="D80" s="48" t="str">
        <f t="shared" si="1"/>
        <v>Маер В.Ю.</v>
      </c>
      <c r="E80" s="45" t="s">
        <v>228</v>
      </c>
      <c r="F80" s="45" t="s">
        <v>292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196</v>
      </c>
      <c r="C81" s="46" t="s">
        <v>82</v>
      </c>
      <c r="D81" s="48" t="str">
        <f t="shared" si="1"/>
        <v>Макаренко А.А.</v>
      </c>
      <c r="E81" s="55" t="s">
        <v>83</v>
      </c>
      <c r="F81" s="55" t="s">
        <v>139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6" t="s">
        <v>18</v>
      </c>
      <c r="D82" s="48" t="str">
        <f t="shared" si="1"/>
        <v>Максютов К.С.</v>
      </c>
      <c r="E82" s="55" t="s">
        <v>33</v>
      </c>
      <c r="F82" s="55" t="s">
        <v>135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6" t="s">
        <v>61</v>
      </c>
      <c r="D83" s="48" t="str">
        <f t="shared" si="1"/>
        <v>Мартынов П.А.</v>
      </c>
      <c r="E83" s="55" t="s">
        <v>127</v>
      </c>
      <c r="F83" s="55" t="s">
        <v>138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6" t="s">
        <v>57</v>
      </c>
      <c r="D84" s="48" t="str">
        <f t="shared" si="1"/>
        <v>Меньщиков А.В.</v>
      </c>
      <c r="E84" s="55" t="s">
        <v>123</v>
      </c>
      <c r="F84" s="55" t="s">
        <v>135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6" t="s">
        <v>380</v>
      </c>
      <c r="D85" s="46" t="s">
        <v>380</v>
      </c>
      <c r="E85" s="55" t="s">
        <v>381</v>
      </c>
      <c r="F85" s="55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6" t="s">
        <v>373</v>
      </c>
      <c r="D86" s="48" t="s">
        <v>374</v>
      </c>
      <c r="E86" s="55" t="s">
        <v>228</v>
      </c>
      <c r="F86" s="55" t="s">
        <v>292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321</v>
      </c>
      <c r="C87" s="48" t="s">
        <v>320</v>
      </c>
      <c r="D87" s="48" t="str">
        <f t="shared" ref="D87:D110" si="2">LEFT(C87,FIND(" ",C87,1)+1)&amp;"."&amp;MID(C87,FIND(" ",C87,FIND(" ",C87,1)+1)+1,1)&amp;"."</f>
        <v>Мотовецкий В.А.</v>
      </c>
      <c r="E87" s="45" t="s">
        <v>123</v>
      </c>
      <c r="F87" s="45" t="s">
        <v>135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319</v>
      </c>
      <c r="C88" s="48" t="s">
        <v>318</v>
      </c>
      <c r="D88" s="48" t="str">
        <f t="shared" si="2"/>
        <v>Муксунов Н.А.</v>
      </c>
      <c r="E88" s="45" t="s">
        <v>123</v>
      </c>
      <c r="F88" s="45" t="s">
        <v>135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200</v>
      </c>
      <c r="C89" s="46" t="s">
        <v>69</v>
      </c>
      <c r="D89" s="48" t="str">
        <f t="shared" si="2"/>
        <v>Мусин А.И.</v>
      </c>
      <c r="E89" s="55" t="s">
        <v>395</v>
      </c>
      <c r="F89" s="55" t="s">
        <v>142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6" t="s">
        <v>44</v>
      </c>
      <c r="D90" s="48" t="str">
        <f t="shared" si="2"/>
        <v>Мухаревич Д.В.</v>
      </c>
      <c r="E90" s="55" t="s">
        <v>33</v>
      </c>
      <c r="F90" s="55" t="s">
        <v>134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8" t="s">
        <v>301</v>
      </c>
      <c r="D91" s="48" t="str">
        <f t="shared" si="2"/>
        <v>Мынзат А.П.</v>
      </c>
      <c r="E91" s="45" t="s">
        <v>230</v>
      </c>
      <c r="F91" s="45" t="s">
        <v>303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202</v>
      </c>
      <c r="C92" s="46" t="s">
        <v>15</v>
      </c>
      <c r="D92" s="48" t="str">
        <f t="shared" si="2"/>
        <v>Нагабедян А.Г.</v>
      </c>
      <c r="E92" s="55" t="s">
        <v>105</v>
      </c>
      <c r="F92" s="55" t="s">
        <v>104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96</v>
      </c>
      <c r="C93" s="46" t="s">
        <v>84</v>
      </c>
      <c r="D93" s="48" t="str">
        <f t="shared" si="2"/>
        <v>Негодяев В.Ю.</v>
      </c>
      <c r="E93" s="55" t="s">
        <v>33</v>
      </c>
      <c r="F93" s="55" t="s">
        <v>94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314</v>
      </c>
      <c r="C94" s="48" t="s">
        <v>307</v>
      </c>
      <c r="D94" s="48" t="str">
        <f t="shared" si="2"/>
        <v>Николаев Г.А.</v>
      </c>
      <c r="E94" s="45" t="s">
        <v>33</v>
      </c>
      <c r="F94" s="45" t="s">
        <v>135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8" t="s">
        <v>293</v>
      </c>
      <c r="D95" s="48" t="str">
        <f t="shared" si="2"/>
        <v>Николенко А.Ю.</v>
      </c>
      <c r="E95" s="45" t="s">
        <v>228</v>
      </c>
      <c r="F95" s="45" t="s">
        <v>292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203</v>
      </c>
      <c r="C96" s="46" t="s">
        <v>119</v>
      </c>
      <c r="D96" s="48" t="str">
        <f t="shared" si="2"/>
        <v>Овешников Д.В.</v>
      </c>
      <c r="E96" s="55" t="s">
        <v>129</v>
      </c>
      <c r="F96" s="55" t="s">
        <v>144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330</v>
      </c>
      <c r="C97" s="48" t="s">
        <v>329</v>
      </c>
      <c r="D97" s="48" t="str">
        <f t="shared" si="2"/>
        <v>Павлова Е.В.</v>
      </c>
      <c r="E97" s="45" t="s">
        <v>331</v>
      </c>
      <c r="F97" s="45" t="s">
        <v>93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204</v>
      </c>
      <c r="C98" s="46" t="s">
        <v>120</v>
      </c>
      <c r="D98" s="48" t="str">
        <f t="shared" si="2"/>
        <v>Панасенко А.И.</v>
      </c>
      <c r="E98" s="55" t="s">
        <v>33</v>
      </c>
      <c r="F98" s="55" t="s">
        <v>141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6" t="s">
        <v>62</v>
      </c>
      <c r="D99" s="48" t="str">
        <f t="shared" si="2"/>
        <v>Пастухов Д.В.</v>
      </c>
      <c r="E99" s="55" t="s">
        <v>59</v>
      </c>
      <c r="F99" s="55" t="s">
        <v>138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6" t="s">
        <v>70</v>
      </c>
      <c r="D100" s="48" t="str">
        <f t="shared" si="2"/>
        <v>Пашкевич А.В.</v>
      </c>
      <c r="E100" s="55" t="s">
        <v>395</v>
      </c>
      <c r="F100" s="55" t="s">
        <v>142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6" t="s">
        <v>71</v>
      </c>
      <c r="D101" s="48" t="str">
        <f t="shared" si="2"/>
        <v>Перетокин И.В.</v>
      </c>
      <c r="E101" s="55" t="s">
        <v>395</v>
      </c>
      <c r="F101" s="55" t="s">
        <v>142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335</v>
      </c>
      <c r="C102" s="48" t="s">
        <v>334</v>
      </c>
      <c r="D102" s="48" t="str">
        <f t="shared" si="2"/>
        <v>Петров А.Ю.</v>
      </c>
      <c r="E102" s="45" t="s">
        <v>123</v>
      </c>
      <c r="F102" s="45" t="s">
        <v>135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208</v>
      </c>
      <c r="C103" s="46" t="s">
        <v>121</v>
      </c>
      <c r="D103" s="48" t="str">
        <f t="shared" si="2"/>
        <v>Пирогов Е.А.</v>
      </c>
      <c r="E103" s="55" t="s">
        <v>130</v>
      </c>
      <c r="F103" s="55" t="s">
        <v>139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6" t="s">
        <v>37</v>
      </c>
      <c r="D104" s="48" t="str">
        <f t="shared" si="2"/>
        <v>Проценко Р.В.</v>
      </c>
      <c r="E104" s="55" t="s">
        <v>394</v>
      </c>
      <c r="F104" s="55" t="s">
        <v>133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316</v>
      </c>
      <c r="C105" s="48" t="s">
        <v>311</v>
      </c>
      <c r="D105" s="48" t="str">
        <f t="shared" si="2"/>
        <v>Рожков С.А.</v>
      </c>
      <c r="E105" s="45" t="s">
        <v>312</v>
      </c>
      <c r="F105" s="45" t="s">
        <v>112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8" t="s">
        <v>347</v>
      </c>
      <c r="D106" s="48" t="str">
        <f t="shared" si="2"/>
        <v>Русаков Д.О.</v>
      </c>
      <c r="E106" s="45" t="s">
        <v>123</v>
      </c>
      <c r="F106" s="45" t="s">
        <v>135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210</v>
      </c>
      <c r="C107" s="46" t="s">
        <v>45</v>
      </c>
      <c r="D107" s="48" t="str">
        <f t="shared" si="2"/>
        <v>Рычков Д.А.</v>
      </c>
      <c r="E107" s="55" t="s">
        <v>41</v>
      </c>
      <c r="F107" s="55" t="s">
        <v>134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6" t="s">
        <v>63</v>
      </c>
      <c r="D108" s="48" t="str">
        <f t="shared" si="2"/>
        <v>Сагдиев А.А.</v>
      </c>
      <c r="E108" s="55" t="s">
        <v>59</v>
      </c>
      <c r="F108" s="55" t="s">
        <v>138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8" t="s">
        <v>304</v>
      </c>
      <c r="D109" s="48" t="str">
        <f t="shared" si="2"/>
        <v>Самойлов В.С.</v>
      </c>
      <c r="E109" s="45" t="s">
        <v>95</v>
      </c>
      <c r="F109" s="45" t="s">
        <v>136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212</v>
      </c>
      <c r="C110" s="46" t="s">
        <v>46</v>
      </c>
      <c r="D110" s="48" t="str">
        <f t="shared" si="2"/>
        <v>Сарычев А.И.</v>
      </c>
      <c r="E110" s="55" t="s">
        <v>41</v>
      </c>
      <c r="F110" s="55" t="s">
        <v>134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6" t="s">
        <v>382</v>
      </c>
      <c r="D111" s="46" t="s">
        <v>382</v>
      </c>
      <c r="E111" s="55" t="s">
        <v>383</v>
      </c>
      <c r="F111" s="55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8" t="s">
        <v>369</v>
      </c>
      <c r="D112" s="48" t="str">
        <f t="shared" ref="D112:D140" si="3">LEFT(C112,FIND(" ",C112,1)+1)&amp;"."&amp;MID(C112,FIND(" ",C112,FIND(" ",C112,1)+1)+1,1)&amp;"."</f>
        <v>Селетков Е.Ю.</v>
      </c>
      <c r="E112" s="45" t="s">
        <v>370</v>
      </c>
      <c r="F112" s="45" t="s">
        <v>368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213</v>
      </c>
      <c r="C113" s="46" t="s">
        <v>21</v>
      </c>
      <c r="D113" s="48" t="str">
        <f t="shared" si="3"/>
        <v>Семидалов Ю.С.</v>
      </c>
      <c r="E113" s="55" t="s">
        <v>22</v>
      </c>
      <c r="F113" s="55" t="s">
        <v>135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214</v>
      </c>
      <c r="C114" s="46" t="s">
        <v>72</v>
      </c>
      <c r="D114" s="48" t="str">
        <f t="shared" si="3"/>
        <v>Серпинин А.С.</v>
      </c>
      <c r="E114" s="55" t="s">
        <v>395</v>
      </c>
      <c r="F114" s="55" t="s">
        <v>142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215</v>
      </c>
      <c r="C115" s="46" t="s">
        <v>64</v>
      </c>
      <c r="D115" s="48" t="str">
        <f t="shared" si="3"/>
        <v>Сидорчик Д.А.</v>
      </c>
      <c r="E115" s="55" t="s">
        <v>59</v>
      </c>
      <c r="F115" s="55" t="s">
        <v>138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216</v>
      </c>
      <c r="C116" s="46" t="s">
        <v>122</v>
      </c>
      <c r="D116" s="48" t="str">
        <f t="shared" si="3"/>
        <v>Сладков К.В.</v>
      </c>
      <c r="E116" s="55" t="s">
        <v>33</v>
      </c>
      <c r="F116" s="55" t="s">
        <v>141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325</v>
      </c>
      <c r="C117" s="48" t="s">
        <v>324</v>
      </c>
      <c r="D117" s="48" t="str">
        <f t="shared" si="3"/>
        <v>Снытко В.В.</v>
      </c>
      <c r="E117" s="45" t="s">
        <v>123</v>
      </c>
      <c r="F117" s="45" t="s">
        <v>135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328</v>
      </c>
      <c r="C118" s="48" t="s">
        <v>326</v>
      </c>
      <c r="D118" s="48" t="str">
        <f t="shared" si="3"/>
        <v>Соколенко С.И.</v>
      </c>
      <c r="E118" s="45" t="s">
        <v>327</v>
      </c>
      <c r="F118" s="45" t="s">
        <v>93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317</v>
      </c>
      <c r="C119" s="48" t="s">
        <v>308</v>
      </c>
      <c r="D119" s="48" t="str">
        <f t="shared" si="3"/>
        <v>Солопов Д.С.</v>
      </c>
      <c r="E119" s="45" t="s">
        <v>309</v>
      </c>
      <c r="F119" s="45" t="s">
        <v>112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217</v>
      </c>
      <c r="C120" s="46" t="s">
        <v>73</v>
      </c>
      <c r="D120" s="48" t="str">
        <f t="shared" si="3"/>
        <v>Степанов Г.В.</v>
      </c>
      <c r="E120" s="55" t="s">
        <v>395</v>
      </c>
      <c r="F120" s="55" t="s">
        <v>142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342</v>
      </c>
      <c r="C121" s="48" t="s">
        <v>341</v>
      </c>
      <c r="D121" s="48" t="str">
        <f t="shared" si="3"/>
        <v>Суворов Е.В.</v>
      </c>
      <c r="E121" s="45" t="s">
        <v>123</v>
      </c>
      <c r="F121" s="45" t="s">
        <v>135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8" t="s">
        <v>385</v>
      </c>
      <c r="D122" s="48" t="str">
        <f t="shared" si="3"/>
        <v>Тедеев Д.П.</v>
      </c>
      <c r="E122" s="45" t="s">
        <v>123</v>
      </c>
      <c r="F122" s="45" t="s">
        <v>135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8" t="s">
        <v>377</v>
      </c>
      <c r="D123" s="48" t="str">
        <f t="shared" si="3"/>
        <v>Тетенов А.Н.</v>
      </c>
      <c r="E123" s="45" t="s">
        <v>129</v>
      </c>
      <c r="F123" s="45" t="s">
        <v>144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8" t="s">
        <v>302</v>
      </c>
      <c r="D124" s="48" t="str">
        <f t="shared" si="3"/>
        <v>Тимошин А.Ю.</v>
      </c>
      <c r="E124" s="45" t="s">
        <v>228</v>
      </c>
      <c r="F124" s="45" t="s">
        <v>292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218</v>
      </c>
      <c r="C125" s="46" t="s">
        <v>47</v>
      </c>
      <c r="D125" s="48" t="str">
        <f t="shared" si="3"/>
        <v>Тропников И.А.</v>
      </c>
      <c r="E125" s="55" t="s">
        <v>41</v>
      </c>
      <c r="F125" s="55" t="s">
        <v>134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219</v>
      </c>
      <c r="C126" s="46" t="s">
        <v>54</v>
      </c>
      <c r="D126" s="48" t="str">
        <f t="shared" si="3"/>
        <v>Хабаров Д.Б.</v>
      </c>
      <c r="E126" s="55" t="s">
        <v>124</v>
      </c>
      <c r="F126" s="55" t="s">
        <v>132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5" t="s">
        <v>388</v>
      </c>
      <c r="D127" s="48" t="str">
        <f t="shared" si="3"/>
        <v>Христенко А.А.</v>
      </c>
      <c r="E127" s="55" t="s">
        <v>403</v>
      </c>
      <c r="F127" s="55" t="s">
        <v>139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55" t="s">
        <v>29</v>
      </c>
      <c r="D128" s="48" t="str">
        <f t="shared" si="3"/>
        <v>Христофориди А.А.</v>
      </c>
      <c r="E128" s="55" t="s">
        <v>128</v>
      </c>
      <c r="F128" s="55" t="s">
        <v>136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8" t="s">
        <v>363</v>
      </c>
      <c r="D129" s="48" t="str">
        <f t="shared" si="3"/>
        <v>Цупрунов Ю.С.</v>
      </c>
      <c r="E129" s="45" t="s">
        <v>123</v>
      </c>
      <c r="F129" s="45" t="s">
        <v>135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8" t="s">
        <v>295</v>
      </c>
      <c r="D130" s="48" t="str">
        <f t="shared" si="3"/>
        <v>Челноков А.Г.</v>
      </c>
      <c r="E130" s="45" t="s">
        <v>228</v>
      </c>
      <c r="F130" s="45" t="s">
        <v>292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8" t="s">
        <v>338</v>
      </c>
      <c r="D131" s="48" t="str">
        <f t="shared" si="3"/>
        <v>Черниченко Д.В.</v>
      </c>
      <c r="E131" s="45" t="s">
        <v>230</v>
      </c>
      <c r="F131" s="45" t="s">
        <v>303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221</v>
      </c>
      <c r="C132" s="46" t="s">
        <v>17</v>
      </c>
      <c r="D132" s="48" t="str">
        <f t="shared" si="3"/>
        <v>Черняев А.В.</v>
      </c>
      <c r="E132" s="55" t="s">
        <v>105</v>
      </c>
      <c r="F132" s="55" t="s">
        <v>104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222</v>
      </c>
      <c r="C133" s="46" t="s">
        <v>85</v>
      </c>
      <c r="D133" s="48" t="str">
        <f t="shared" si="3"/>
        <v>Чеченев И.В.</v>
      </c>
      <c r="E133" s="55" t="s">
        <v>111</v>
      </c>
      <c r="F133" s="55" t="s">
        <v>144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223</v>
      </c>
      <c r="C134" s="46" t="s">
        <v>100</v>
      </c>
      <c r="D134" s="48" t="str">
        <f t="shared" si="3"/>
        <v>Чуб С.В.</v>
      </c>
      <c r="E134" s="55" t="s">
        <v>131</v>
      </c>
      <c r="F134" s="55" t="s">
        <v>98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224</v>
      </c>
      <c r="C135" s="46" t="s">
        <v>107</v>
      </c>
      <c r="D135" s="48" t="str">
        <f t="shared" si="3"/>
        <v>Чукбар А.Г.</v>
      </c>
      <c r="E135" s="55" t="s">
        <v>108</v>
      </c>
      <c r="F135" s="55" t="s">
        <v>104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225</v>
      </c>
      <c r="C136" s="46" t="s">
        <v>101</v>
      </c>
      <c r="D136" s="48" t="str">
        <f t="shared" si="3"/>
        <v>Чукбар Е.В.</v>
      </c>
      <c r="E136" s="55" t="s">
        <v>128</v>
      </c>
      <c r="F136" s="55" t="s">
        <v>93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226</v>
      </c>
      <c r="C137" s="46" t="s">
        <v>74</v>
      </c>
      <c r="D137" s="48" t="str">
        <f t="shared" si="3"/>
        <v>Широпятов А.Н.</v>
      </c>
      <c r="E137" s="55" t="s">
        <v>395</v>
      </c>
      <c r="F137" s="55" t="s">
        <v>142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227</v>
      </c>
      <c r="C138" s="46" t="s">
        <v>109</v>
      </c>
      <c r="D138" s="48" t="str">
        <f t="shared" si="3"/>
        <v>Шленчак С.А.</v>
      </c>
      <c r="E138" s="55" t="s">
        <v>97</v>
      </c>
      <c r="F138" s="55" t="s">
        <v>110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8" t="s">
        <v>300</v>
      </c>
      <c r="D139" s="48" t="str">
        <f t="shared" si="3"/>
        <v>Ярый Ж.Б.</v>
      </c>
      <c r="E139" s="45" t="s">
        <v>229</v>
      </c>
      <c r="F139" s="45" t="s">
        <v>292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8" t="s">
        <v>372</v>
      </c>
      <c r="D140" s="48" t="str">
        <f t="shared" si="3"/>
        <v>Ячменев И.Р.</v>
      </c>
      <c r="E140" s="45" t="s">
        <v>228</v>
      </c>
      <c r="F140" s="45" t="s">
        <v>292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8"/>
      <c r="D141" s="48"/>
      <c r="E141" s="45"/>
      <c r="F141" s="45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8"/>
      <c r="D142" s="48"/>
      <c r="E142" s="45"/>
      <c r="F142" s="45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8"/>
      <c r="D143" s="48"/>
      <c r="E143" s="45"/>
      <c r="F143" s="45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8"/>
      <c r="D144" s="48"/>
      <c r="E144" s="45"/>
      <c r="F144" s="45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8"/>
      <c r="D145" s="48"/>
      <c r="E145" s="45"/>
      <c r="F145" s="45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8"/>
      <c r="D146" s="48"/>
      <c r="E146" s="45"/>
      <c r="F146" s="45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8"/>
      <c r="D147" s="48"/>
      <c r="E147" s="45"/>
      <c r="F147" s="45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49"/>
      <c r="D148" s="49"/>
      <c r="E148" s="56"/>
      <c r="F148" s="5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0"/>
      <c r="D149" s="50"/>
      <c r="E149" s="57"/>
      <c r="F149" s="57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0"/>
      <c r="D151" s="50"/>
      <c r="E151" s="57"/>
      <c r="F151" s="57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0"/>
      <c r="D152" s="50"/>
      <c r="E152" s="57"/>
      <c r="F152" s="57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0"/>
      <c r="D153" s="50"/>
      <c r="E153" s="57"/>
      <c r="F153" s="57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0"/>
      <c r="D154" s="50"/>
      <c r="E154" s="57"/>
      <c r="F154" s="57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0"/>
      <c r="D155" s="50"/>
      <c r="E155" s="57"/>
      <c r="F155" s="57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0"/>
      <c r="D156" s="50"/>
      <c r="E156" s="57"/>
      <c r="F156" s="57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0"/>
      <c r="D157" s="50"/>
      <c r="E157" s="57"/>
      <c r="F157" s="57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0"/>
      <c r="D158" s="50"/>
      <c r="E158" s="57"/>
      <c r="F158" s="57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0"/>
      <c r="D159" s="50"/>
      <c r="E159" s="57"/>
      <c r="F159" s="57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0"/>
      <c r="D160" s="50"/>
      <c r="E160" s="57"/>
      <c r="F160" s="57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0"/>
      <c r="D161" s="50"/>
      <c r="E161" s="57"/>
      <c r="F161" s="57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0"/>
      <c r="D162" s="50"/>
      <c r="E162" s="57"/>
      <c r="F162" s="57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0"/>
      <c r="D163" s="50"/>
      <c r="E163" s="57"/>
      <c r="F163" s="57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0"/>
      <c r="D164" s="50"/>
      <c r="E164" s="57"/>
      <c r="F164" s="57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0"/>
      <c r="D165" s="50"/>
      <c r="E165" s="57"/>
      <c r="F165" s="57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0"/>
      <c r="D166" s="50"/>
      <c r="E166" s="57"/>
      <c r="F166" s="57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0"/>
      <c r="D167" s="50"/>
      <c r="E167" s="57"/>
      <c r="F167" s="57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0"/>
      <c r="D168" s="50"/>
      <c r="E168" s="57"/>
      <c r="F168" s="57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0"/>
      <c r="D169" s="50"/>
      <c r="E169" s="57"/>
      <c r="F169" s="57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0"/>
      <c r="D170" s="50"/>
      <c r="E170" s="57"/>
      <c r="F170" s="57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0"/>
      <c r="D171" s="50"/>
      <c r="E171" s="57"/>
      <c r="F171" s="57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0"/>
      <c r="D172" s="50"/>
      <c r="E172" s="57"/>
      <c r="F172" s="57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0"/>
      <c r="D173" s="50"/>
      <c r="E173" s="57"/>
      <c r="F173" s="57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0"/>
      <c r="D174" s="50"/>
      <c r="E174" s="57"/>
      <c r="F174" s="57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0"/>
      <c r="D175" s="50"/>
      <c r="E175" s="57"/>
      <c r="F175" s="57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0"/>
      <c r="D176" s="50"/>
      <c r="E176" s="57"/>
      <c r="F176" s="57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0"/>
      <c r="D177" s="50"/>
      <c r="E177" s="57"/>
      <c r="F177" s="57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0"/>
      <c r="D178" s="50"/>
      <c r="E178" s="57"/>
      <c r="F178" s="57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0"/>
      <c r="D179" s="50"/>
      <c r="E179" s="57"/>
      <c r="F179" s="57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0"/>
      <c r="D180" s="50"/>
      <c r="E180" s="57"/>
      <c r="F180" s="57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0"/>
      <c r="D181" s="50"/>
      <c r="E181" s="57"/>
      <c r="F181" s="57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0"/>
      <c r="D182" s="50"/>
      <c r="E182" s="57"/>
      <c r="F182" s="57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0"/>
      <c r="D183" s="50"/>
      <c r="E183" s="57"/>
      <c r="F183" s="57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0"/>
      <c r="D184" s="50"/>
      <c r="E184" s="57"/>
      <c r="F184" s="57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0"/>
      <c r="D185" s="50"/>
      <c r="E185" s="57"/>
      <c r="F185" s="57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0"/>
      <c r="D186" s="50"/>
      <c r="E186" s="57"/>
      <c r="F186" s="57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0"/>
      <c r="D187" s="50"/>
      <c r="E187" s="57"/>
      <c r="F187" s="57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0"/>
      <c r="D188" s="50"/>
      <c r="E188" s="57"/>
      <c r="F188" s="57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0"/>
      <c r="D189" s="50"/>
      <c r="E189" s="57"/>
      <c r="F189" s="57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0"/>
      <c r="D190" s="50"/>
      <c r="E190" s="57"/>
      <c r="F190" s="57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0"/>
      <c r="D191" s="50"/>
      <c r="E191" s="57"/>
      <c r="F191" s="57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0"/>
      <c r="D192" s="50"/>
      <c r="E192" s="57"/>
      <c r="F192" s="57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0"/>
      <c r="D193" s="50"/>
      <c r="E193" s="57"/>
      <c r="F193" s="57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0"/>
      <c r="D194" s="50"/>
      <c r="E194" s="57"/>
      <c r="F194" s="57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0"/>
      <c r="D195" s="50"/>
      <c r="E195" s="57"/>
      <c r="F195" s="57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0"/>
      <c r="D196" s="50"/>
      <c r="E196" s="57"/>
      <c r="F196" s="57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0"/>
      <c r="D197" s="50"/>
      <c r="E197" s="57"/>
      <c r="F197" s="57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0"/>
      <c r="D198" s="50"/>
      <c r="E198" s="57"/>
      <c r="F198" s="57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0"/>
      <c r="D199" s="50"/>
      <c r="E199" s="57"/>
      <c r="F199" s="57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0"/>
      <c r="D200" s="50"/>
      <c r="E200" s="57"/>
      <c r="F200" s="57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0"/>
      <c r="D201" s="50"/>
      <c r="E201" s="57"/>
      <c r="F201" s="57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0"/>
      <c r="D202" s="50"/>
      <c r="E202" s="57"/>
      <c r="F202" s="57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0"/>
      <c r="D203" s="50"/>
      <c r="E203" s="57"/>
      <c r="F203" s="57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0"/>
      <c r="D204" s="50"/>
      <c r="E204" s="57"/>
      <c r="F204" s="57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0"/>
      <c r="D205" s="50"/>
      <c r="E205" s="57"/>
      <c r="F205" s="57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0"/>
      <c r="D206" s="50"/>
      <c r="E206" s="57"/>
      <c r="F206" s="57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0"/>
      <c r="D207" s="50"/>
      <c r="E207" s="57"/>
      <c r="F207" s="57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0"/>
      <c r="D208" s="50"/>
      <c r="E208" s="57"/>
      <c r="F208" s="57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0"/>
      <c r="D209" s="50"/>
      <c r="E209" s="57"/>
      <c r="F209" s="57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0"/>
      <c r="D210" s="50"/>
      <c r="E210" s="57"/>
      <c r="F210" s="57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0"/>
      <c r="D211" s="50"/>
      <c r="E211" s="57"/>
      <c r="F211" s="57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0"/>
      <c r="D212" s="50"/>
      <c r="E212" s="57"/>
      <c r="F212" s="57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0"/>
      <c r="D213" s="50"/>
      <c r="E213" s="57"/>
      <c r="F213" s="57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1"/>
      <c r="D214" s="51"/>
      <c r="E214" s="51"/>
      <c r="F214" s="51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1"/>
      <c r="D215" s="51"/>
      <c r="E215" s="51"/>
      <c r="F215" s="51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1"/>
      <c r="D216" s="51"/>
      <c r="E216" s="51"/>
      <c r="F216" s="51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1"/>
      <c r="D217" s="51"/>
      <c r="E217" s="51"/>
      <c r="F217" s="51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1"/>
      <c r="D218" s="51"/>
      <c r="E218" s="51"/>
      <c r="F218" s="51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1"/>
      <c r="D219" s="51"/>
      <c r="E219" s="51"/>
      <c r="F219" s="51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1"/>
      <c r="D220" s="51"/>
      <c r="E220" s="51"/>
      <c r="F220" s="51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1"/>
      <c r="D221" s="51"/>
      <c r="E221" s="51"/>
      <c r="F221" s="51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1"/>
      <c r="D222" s="51"/>
      <c r="E222" s="51"/>
      <c r="F222" s="51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1"/>
      <c r="D223" s="51"/>
      <c r="E223" s="51"/>
      <c r="F223" s="51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1"/>
      <c r="D224" s="51"/>
      <c r="E224" s="51"/>
      <c r="F224" s="51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1"/>
      <c r="D225" s="51"/>
      <c r="E225" s="51"/>
      <c r="F225" s="51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1"/>
      <c r="D226" s="51"/>
      <c r="E226" s="51"/>
      <c r="F226" s="51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1"/>
      <c r="D227" s="51"/>
      <c r="E227" s="51"/>
      <c r="F227" s="51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1"/>
      <c r="D228" s="51"/>
      <c r="E228" s="51"/>
      <c r="F228" s="51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1"/>
      <c r="D229" s="51"/>
      <c r="E229" s="51"/>
      <c r="F229" s="51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1"/>
      <c r="D230" s="51"/>
      <c r="E230" s="51"/>
      <c r="F230" s="51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1"/>
      <c r="D231" s="51"/>
      <c r="E231" s="51"/>
      <c r="F231" s="51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1"/>
      <c r="D232" s="51"/>
      <c r="E232" s="51"/>
      <c r="F232" s="51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1"/>
      <c r="D233" s="51"/>
      <c r="E233" s="51"/>
      <c r="F233" s="51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1"/>
      <c r="D234" s="51"/>
      <c r="E234" s="51"/>
      <c r="F234" s="51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1"/>
      <c r="D235" s="51"/>
      <c r="E235" s="51"/>
      <c r="F235" s="51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1"/>
      <c r="D236" s="51"/>
      <c r="E236" s="51"/>
      <c r="F236" s="51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1"/>
      <c r="D237" s="51"/>
      <c r="E237" s="51"/>
      <c r="F237" s="51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1"/>
      <c r="D238" s="51"/>
      <c r="E238" s="51"/>
      <c r="F238" s="51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1"/>
      <c r="D239" s="51"/>
      <c r="E239" s="51"/>
      <c r="F239" s="51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1"/>
      <c r="D240" s="51"/>
      <c r="E240" s="51"/>
      <c r="F240" s="51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1"/>
      <c r="D241" s="51"/>
      <c r="E241" s="51"/>
      <c r="F241" s="51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1"/>
      <c r="D242" s="51"/>
      <c r="E242" s="51"/>
      <c r="F242" s="51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1"/>
      <c r="D243" s="51"/>
      <c r="E243" s="51"/>
      <c r="F243" s="51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1"/>
      <c r="D244" s="51"/>
      <c r="E244" s="51"/>
      <c r="F244" s="51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1"/>
      <c r="D245" s="51"/>
      <c r="E245" s="51"/>
      <c r="F245" s="51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1"/>
      <c r="D246" s="51"/>
      <c r="E246" s="51"/>
      <c r="F246" s="51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1"/>
      <c r="D247" s="51"/>
      <c r="E247" s="51"/>
      <c r="F247" s="51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1"/>
      <c r="D248" s="51"/>
      <c r="E248" s="51"/>
      <c r="F248" s="51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1"/>
      <c r="D249" s="51"/>
      <c r="E249" s="51"/>
      <c r="F249" s="51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1"/>
      <c r="D250" s="51"/>
      <c r="E250" s="51"/>
      <c r="F250" s="51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1"/>
      <c r="D251" s="51"/>
      <c r="E251" s="51"/>
      <c r="F251" s="51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1"/>
      <c r="D252" s="51"/>
      <c r="E252" s="51"/>
      <c r="F252" s="51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1"/>
      <c r="D253" s="51"/>
      <c r="E253" s="51"/>
      <c r="F253" s="51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1"/>
      <c r="D254" s="51"/>
      <c r="E254" s="51"/>
      <c r="F254" s="51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1"/>
      <c r="D255" s="51"/>
      <c r="E255" s="51"/>
      <c r="F255" s="51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1"/>
      <c r="D256" s="51"/>
      <c r="E256" s="51"/>
      <c r="F256" s="51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1"/>
      <c r="D257" s="51"/>
      <c r="E257" s="51"/>
      <c r="F257" s="51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1"/>
      <c r="D258" s="51"/>
      <c r="E258" s="51"/>
      <c r="F258" s="51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1"/>
      <c r="D259" s="51"/>
      <c r="E259" s="51"/>
      <c r="F259" s="51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1"/>
      <c r="D260" s="51"/>
      <c r="E260" s="51"/>
      <c r="F260" s="51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1"/>
      <c r="D261" s="51"/>
      <c r="E261" s="51"/>
      <c r="F261" s="51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1"/>
      <c r="D262" s="51"/>
      <c r="E262" s="51"/>
      <c r="F262" s="51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1"/>
      <c r="D263" s="51"/>
      <c r="E263" s="51"/>
      <c r="F263" s="51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1"/>
      <c r="D264" s="51"/>
      <c r="E264" s="51"/>
      <c r="F264" s="51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1"/>
      <c r="D265" s="51"/>
      <c r="E265" s="51"/>
      <c r="F265" s="51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1"/>
      <c r="D266" s="51"/>
      <c r="E266" s="51"/>
      <c r="F266" s="51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1"/>
      <c r="D267" s="51"/>
      <c r="E267" s="51"/>
      <c r="F267" s="51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1"/>
      <c r="D268" s="51"/>
      <c r="E268" s="51"/>
      <c r="F268" s="51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1"/>
      <c r="D269" s="51"/>
      <c r="E269" s="51"/>
      <c r="F269" s="51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1"/>
      <c r="D270" s="51"/>
      <c r="E270" s="51"/>
      <c r="F270" s="51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1"/>
      <c r="D271" s="51"/>
      <c r="E271" s="51"/>
      <c r="F271" s="51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1"/>
      <c r="D272" s="51"/>
      <c r="E272" s="51"/>
      <c r="F272" s="51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1"/>
      <c r="D273" s="51"/>
      <c r="E273" s="51"/>
      <c r="F273" s="51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1"/>
      <c r="D274" s="51"/>
      <c r="E274" s="51"/>
      <c r="F274" s="51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1"/>
      <c r="D275" s="51"/>
      <c r="E275" s="51"/>
      <c r="F275" s="51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1"/>
      <c r="D276" s="51"/>
      <c r="E276" s="51"/>
      <c r="F276" s="51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1"/>
      <c r="D277" s="51"/>
      <c r="E277" s="51"/>
      <c r="F277" s="51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1"/>
      <c r="D278" s="51"/>
      <c r="E278" s="51"/>
      <c r="F278" s="51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1"/>
      <c r="D279" s="51"/>
      <c r="E279" s="51"/>
      <c r="F279" s="51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1"/>
      <c r="D280" s="51"/>
      <c r="E280" s="51"/>
      <c r="F280" s="51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1"/>
      <c r="D281" s="51"/>
      <c r="E281" s="51"/>
      <c r="F281" s="51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1"/>
      <c r="D282" s="51"/>
      <c r="E282" s="51"/>
      <c r="F282" s="51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1"/>
      <c r="D283" s="51"/>
      <c r="E283" s="51"/>
      <c r="F283" s="51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1"/>
      <c r="D284" s="51"/>
      <c r="E284" s="51"/>
      <c r="F284" s="51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1"/>
      <c r="D285" s="51"/>
      <c r="E285" s="51"/>
      <c r="F285" s="51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1"/>
      <c r="D286" s="51"/>
      <c r="E286" s="51"/>
      <c r="F286" s="51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1"/>
      <c r="D287" s="51"/>
      <c r="E287" s="51"/>
      <c r="F287" s="51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1"/>
      <c r="D288" s="51"/>
      <c r="E288" s="51"/>
      <c r="F288" s="51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1"/>
      <c r="D289" s="51"/>
      <c r="E289" s="51"/>
      <c r="F289" s="51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1"/>
      <c r="D290" s="51"/>
      <c r="E290" s="51"/>
      <c r="F290" s="51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1"/>
      <c r="D291" s="51"/>
      <c r="E291" s="51"/>
      <c r="F291" s="51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1"/>
      <c r="D292" s="51"/>
      <c r="E292" s="51"/>
      <c r="F292" s="51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1"/>
      <c r="D293" s="51"/>
      <c r="E293" s="51"/>
      <c r="F293" s="51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1"/>
      <c r="D294" s="51"/>
      <c r="E294" s="51"/>
      <c r="F294" s="51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1"/>
      <c r="D295" s="51"/>
      <c r="E295" s="51"/>
      <c r="F295" s="51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1"/>
      <c r="D296" s="51"/>
      <c r="E296" s="51"/>
      <c r="F296" s="51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1"/>
      <c r="D297" s="51"/>
      <c r="E297" s="51"/>
      <c r="F297" s="51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1"/>
      <c r="D298" s="51"/>
      <c r="E298" s="51"/>
      <c r="F298" s="51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1"/>
      <c r="D299" s="51"/>
      <c r="E299" s="51"/>
      <c r="F299" s="51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1"/>
      <c r="D300" s="51"/>
      <c r="E300" s="51"/>
      <c r="F300" s="51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1"/>
      <c r="D301" s="51"/>
      <c r="E301" s="51"/>
      <c r="F301" s="51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1"/>
      <c r="D302" s="51"/>
      <c r="E302" s="51"/>
      <c r="F302" s="51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1"/>
      <c r="D303" s="51"/>
      <c r="E303" s="51"/>
      <c r="F303" s="51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1"/>
      <c r="D304" s="51"/>
      <c r="E304" s="51"/>
      <c r="F304" s="51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1"/>
      <c r="D305" s="51"/>
      <c r="E305" s="51"/>
      <c r="F305" s="51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1"/>
      <c r="D306" s="51"/>
      <c r="E306" s="51"/>
      <c r="F306" s="51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1"/>
      <c r="D307" s="51"/>
      <c r="E307" s="51"/>
      <c r="F307" s="51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1"/>
      <c r="D308" s="51"/>
      <c r="E308" s="51"/>
      <c r="F308" s="51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1"/>
      <c r="D309" s="51"/>
      <c r="E309" s="51"/>
      <c r="F309" s="51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1"/>
      <c r="D310" s="51"/>
      <c r="E310" s="51"/>
      <c r="F310" s="51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1"/>
      <c r="D311" s="51"/>
      <c r="E311" s="51"/>
      <c r="F311" s="51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1"/>
      <c r="D312" s="51"/>
      <c r="E312" s="51"/>
      <c r="F312" s="51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1"/>
      <c r="D313" s="51"/>
      <c r="E313" s="51"/>
      <c r="F313" s="51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1"/>
      <c r="D314" s="51"/>
      <c r="E314" s="51"/>
      <c r="F314" s="51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1"/>
      <c r="D315" s="51"/>
      <c r="E315" s="51"/>
      <c r="F315" s="51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1"/>
      <c r="D316" s="51"/>
      <c r="E316" s="51"/>
      <c r="F316" s="51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1"/>
      <c r="D317" s="51"/>
      <c r="E317" s="51"/>
      <c r="F317" s="51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1"/>
      <c r="D318" s="51"/>
      <c r="E318" s="51"/>
      <c r="F318" s="51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1"/>
      <c r="D319" s="51"/>
      <c r="E319" s="51"/>
      <c r="F319" s="51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1"/>
      <c r="D320" s="51"/>
      <c r="E320" s="51"/>
      <c r="F320" s="51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1"/>
      <c r="D321" s="51"/>
      <c r="E321" s="51"/>
      <c r="F321" s="51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1"/>
      <c r="D322" s="51"/>
      <c r="E322" s="51"/>
      <c r="F322" s="51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1"/>
      <c r="D323" s="51"/>
      <c r="E323" s="51"/>
      <c r="F323" s="51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1"/>
      <c r="D324" s="51"/>
      <c r="E324" s="51"/>
      <c r="F324" s="51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1"/>
      <c r="D325" s="51"/>
      <c r="E325" s="51"/>
      <c r="F325" s="51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1"/>
      <c r="D326" s="51"/>
      <c r="E326" s="51"/>
      <c r="F326" s="51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1"/>
      <c r="D327" s="51"/>
      <c r="E327" s="51"/>
      <c r="F327" s="51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1"/>
      <c r="D328" s="51"/>
      <c r="E328" s="51"/>
      <c r="F328" s="51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1"/>
      <c r="D329" s="51"/>
      <c r="E329" s="51"/>
      <c r="F329" s="51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1"/>
      <c r="D330" s="51"/>
      <c r="E330" s="51"/>
      <c r="F330" s="51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1"/>
      <c r="D331" s="51"/>
      <c r="E331" s="51"/>
      <c r="F331" s="51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1"/>
      <c r="D332" s="51"/>
      <c r="E332" s="51"/>
      <c r="F332" s="51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1"/>
      <c r="D333" s="51"/>
      <c r="E333" s="51"/>
      <c r="F333" s="51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1"/>
      <c r="D334" s="51"/>
      <c r="E334" s="51"/>
      <c r="F334" s="51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1"/>
      <c r="D335" s="51"/>
      <c r="E335" s="51"/>
      <c r="F335" s="51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1"/>
      <c r="D336" s="51"/>
      <c r="E336" s="51"/>
      <c r="F336" s="51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1"/>
      <c r="D337" s="51"/>
      <c r="E337" s="51"/>
      <c r="F337" s="51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1"/>
      <c r="D338" s="51"/>
      <c r="E338" s="51"/>
      <c r="F338" s="51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1"/>
      <c r="D339" s="51"/>
      <c r="E339" s="51"/>
      <c r="F339" s="51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1"/>
      <c r="D340" s="51"/>
      <c r="E340" s="51"/>
      <c r="F340" s="51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1"/>
      <c r="D341" s="51"/>
      <c r="E341" s="51"/>
      <c r="F341" s="51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1"/>
      <c r="D342" s="51"/>
      <c r="E342" s="51"/>
      <c r="F342" s="51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1"/>
      <c r="D343" s="51"/>
      <c r="E343" s="51"/>
      <c r="F343" s="51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1"/>
      <c r="D344" s="51"/>
      <c r="E344" s="51"/>
      <c r="F344" s="51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1"/>
      <c r="D345" s="51"/>
      <c r="E345" s="51"/>
      <c r="F345" s="51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1"/>
      <c r="D346" s="51"/>
      <c r="E346" s="51"/>
      <c r="F346" s="51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1"/>
      <c r="D347" s="51"/>
      <c r="E347" s="51"/>
      <c r="F347" s="51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1"/>
      <c r="D348" s="51"/>
      <c r="E348" s="51"/>
      <c r="F348" s="51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1"/>
      <c r="D349" s="51"/>
      <c r="E349" s="51"/>
      <c r="F349" s="51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1"/>
      <c r="D350" s="51"/>
      <c r="E350" s="51"/>
      <c r="F350" s="51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1"/>
      <c r="D351" s="51"/>
      <c r="E351" s="51"/>
      <c r="F351" s="51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1"/>
      <c r="D352" s="51"/>
      <c r="E352" s="51"/>
      <c r="F352" s="51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1"/>
      <c r="D353" s="51"/>
      <c r="E353" s="51"/>
      <c r="F353" s="51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1"/>
      <c r="D354" s="51"/>
      <c r="E354" s="51"/>
      <c r="F354" s="51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1"/>
      <c r="D355" s="51"/>
      <c r="E355" s="51"/>
      <c r="F355" s="51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1"/>
      <c r="D356" s="51"/>
      <c r="E356" s="51"/>
      <c r="F356" s="51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1"/>
      <c r="D357" s="51"/>
      <c r="E357" s="51"/>
      <c r="F357" s="51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1"/>
      <c r="D358" s="51"/>
      <c r="E358" s="51"/>
      <c r="F358" s="51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1"/>
      <c r="D359" s="51"/>
      <c r="E359" s="51"/>
      <c r="F359" s="51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1"/>
      <c r="D360" s="51"/>
      <c r="E360" s="51"/>
      <c r="F360" s="51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1"/>
      <c r="D361" s="51"/>
      <c r="E361" s="51"/>
      <c r="F361" s="51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1"/>
      <c r="D362" s="51"/>
      <c r="E362" s="51"/>
      <c r="F362" s="51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1"/>
      <c r="D363" s="51"/>
      <c r="E363" s="51"/>
      <c r="F363" s="51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1"/>
      <c r="D364" s="51"/>
      <c r="E364" s="51"/>
      <c r="F364" s="51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1"/>
      <c r="D365" s="51"/>
      <c r="E365" s="51"/>
      <c r="F365" s="51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1"/>
      <c r="D366" s="51"/>
      <c r="E366" s="51"/>
      <c r="F366" s="51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1"/>
      <c r="D367" s="51"/>
      <c r="E367" s="51"/>
      <c r="F367" s="51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1"/>
      <c r="D368" s="51"/>
      <c r="E368" s="51"/>
      <c r="F368" s="51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1"/>
      <c r="D369" s="51"/>
      <c r="E369" s="51"/>
      <c r="F369" s="51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1"/>
      <c r="D370" s="51"/>
      <c r="E370" s="51"/>
      <c r="F370" s="51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1"/>
      <c r="D371" s="51"/>
      <c r="E371" s="51"/>
      <c r="F371" s="51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1"/>
      <c r="D372" s="51"/>
      <c r="E372" s="51"/>
      <c r="F372" s="51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1"/>
      <c r="D373" s="51"/>
      <c r="E373" s="51"/>
      <c r="F373" s="51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1"/>
      <c r="D374" s="51"/>
      <c r="E374" s="51"/>
      <c r="F374" s="51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1"/>
      <c r="D375" s="51"/>
      <c r="E375" s="51"/>
      <c r="F375" s="51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1"/>
      <c r="D376" s="51"/>
      <c r="E376" s="51"/>
      <c r="F376" s="51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1"/>
      <c r="D377" s="51"/>
      <c r="E377" s="51"/>
      <c r="F377" s="51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1"/>
      <c r="D378" s="51"/>
      <c r="E378" s="51"/>
      <c r="F378" s="51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1"/>
      <c r="D379" s="51"/>
      <c r="E379" s="51"/>
      <c r="F379" s="51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1"/>
      <c r="D380" s="51"/>
      <c r="E380" s="51"/>
      <c r="F380" s="51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1"/>
      <c r="D381" s="51"/>
      <c r="E381" s="51"/>
      <c r="F381" s="51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1"/>
      <c r="D382" s="51"/>
      <c r="E382" s="51"/>
      <c r="F382" s="51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1"/>
      <c r="D383" s="51"/>
      <c r="E383" s="51"/>
      <c r="F383" s="51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1"/>
      <c r="D384" s="51"/>
      <c r="E384" s="51"/>
      <c r="F384" s="51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1"/>
      <c r="D385" s="51"/>
      <c r="E385" s="51"/>
      <c r="F385" s="51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1"/>
      <c r="D386" s="51"/>
      <c r="E386" s="51"/>
      <c r="F386" s="51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1"/>
      <c r="D387" s="51"/>
      <c r="E387" s="51"/>
      <c r="F387" s="51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1"/>
      <c r="D388" s="51"/>
      <c r="E388" s="51"/>
      <c r="F388" s="51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1"/>
      <c r="D389" s="51"/>
      <c r="E389" s="51"/>
      <c r="F389" s="51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1"/>
      <c r="D390" s="51"/>
      <c r="E390" s="51"/>
      <c r="F390" s="51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1"/>
      <c r="D391" s="51"/>
      <c r="E391" s="51"/>
      <c r="F391" s="51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1"/>
      <c r="D392" s="51"/>
      <c r="E392" s="51"/>
      <c r="F392" s="51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1"/>
      <c r="D393" s="51"/>
      <c r="E393" s="51"/>
      <c r="F393" s="51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1"/>
      <c r="D394" s="51"/>
      <c r="E394" s="51"/>
      <c r="F394" s="51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1"/>
      <c r="D395" s="51"/>
      <c r="E395" s="51"/>
      <c r="F395" s="51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1"/>
      <c r="D396" s="51"/>
      <c r="E396" s="51"/>
      <c r="F396" s="51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1"/>
      <c r="D397" s="51"/>
      <c r="E397" s="51"/>
      <c r="F397" s="51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1"/>
      <c r="D398" s="51"/>
      <c r="E398" s="51"/>
      <c r="F398" s="51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1"/>
      <c r="D399" s="51"/>
      <c r="E399" s="51"/>
      <c r="F399" s="51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1"/>
      <c r="D400" s="51"/>
      <c r="E400" s="51"/>
      <c r="F400" s="51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1"/>
      <c r="D401" s="51"/>
      <c r="E401" s="51"/>
      <c r="F401" s="51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1"/>
      <c r="D402" s="51"/>
      <c r="E402" s="51"/>
      <c r="F402" s="51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1"/>
      <c r="D403" s="51"/>
      <c r="E403" s="51"/>
      <c r="F403" s="51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1"/>
      <c r="D404" s="51"/>
      <c r="E404" s="51"/>
      <c r="F404" s="51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1"/>
      <c r="D405" s="51"/>
      <c r="E405" s="51"/>
      <c r="F405" s="51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1"/>
      <c r="D406" s="51"/>
      <c r="E406" s="51"/>
      <c r="F406" s="51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1"/>
      <c r="D407" s="51"/>
      <c r="E407" s="51"/>
      <c r="F407" s="51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1"/>
      <c r="D408" s="51"/>
      <c r="E408" s="51"/>
      <c r="F408" s="51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1"/>
      <c r="D409" s="51"/>
      <c r="E409" s="51"/>
      <c r="F409" s="51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1"/>
      <c r="D410" s="51"/>
      <c r="E410" s="51"/>
      <c r="F410" s="51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1"/>
      <c r="D411" s="51"/>
      <c r="E411" s="51"/>
      <c r="F411" s="51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1"/>
      <c r="D412" s="51"/>
      <c r="E412" s="51"/>
      <c r="F412" s="51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1"/>
      <c r="D413" s="51"/>
      <c r="E413" s="51"/>
      <c r="F413" s="51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1"/>
      <c r="D414" s="51"/>
      <c r="E414" s="51"/>
      <c r="F414" s="51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1"/>
      <c r="D415" s="51"/>
      <c r="E415" s="51"/>
      <c r="F415" s="51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1"/>
      <c r="D416" s="51"/>
      <c r="E416" s="51"/>
      <c r="F416" s="51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1"/>
      <c r="D417" s="51"/>
      <c r="E417" s="51"/>
      <c r="F417" s="51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1"/>
      <c r="D418" s="51"/>
      <c r="E418" s="51"/>
      <c r="F418" s="51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1"/>
      <c r="D419" s="51"/>
      <c r="E419" s="51"/>
      <c r="F419" s="51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1"/>
      <c r="D420" s="51"/>
      <c r="E420" s="51"/>
      <c r="F420" s="51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1"/>
      <c r="D421" s="51"/>
      <c r="E421" s="51"/>
      <c r="F421" s="51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1"/>
      <c r="D422" s="51"/>
      <c r="E422" s="51"/>
      <c r="F422" s="51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1"/>
      <c r="D423" s="51"/>
      <c r="E423" s="51"/>
      <c r="F423" s="51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1"/>
      <c r="D424" s="51"/>
      <c r="E424" s="51"/>
      <c r="F424" s="51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1"/>
      <c r="D425" s="51"/>
      <c r="E425" s="51"/>
      <c r="F425" s="51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1"/>
      <c r="D426" s="51"/>
      <c r="E426" s="51"/>
      <c r="F426" s="51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1"/>
      <c r="D427" s="51"/>
      <c r="E427" s="51"/>
      <c r="F427" s="51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1"/>
      <c r="D428" s="51"/>
      <c r="E428" s="51"/>
      <c r="F428" s="51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1"/>
      <c r="D429" s="51"/>
      <c r="E429" s="51"/>
      <c r="F429" s="51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1"/>
      <c r="D430" s="51"/>
      <c r="E430" s="51"/>
      <c r="F430" s="51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1"/>
      <c r="D431" s="51"/>
      <c r="E431" s="51"/>
      <c r="F431" s="51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1"/>
      <c r="D432" s="51"/>
      <c r="E432" s="51"/>
      <c r="F432" s="51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1"/>
      <c r="D433" s="51"/>
      <c r="E433" s="51"/>
      <c r="F433" s="51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1"/>
      <c r="D434" s="51"/>
      <c r="E434" s="51"/>
      <c r="F434" s="51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1"/>
      <c r="D435" s="51"/>
      <c r="E435" s="51"/>
      <c r="F435" s="51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1"/>
      <c r="D436" s="51"/>
      <c r="E436" s="51"/>
      <c r="F436" s="51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1"/>
      <c r="D437" s="51"/>
      <c r="E437" s="51"/>
      <c r="F437" s="51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1"/>
      <c r="D438" s="51"/>
      <c r="E438" s="51"/>
      <c r="F438" s="51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1"/>
      <c r="D439" s="51"/>
      <c r="E439" s="51"/>
      <c r="F439" s="51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1"/>
      <c r="D440" s="51"/>
      <c r="E440" s="51"/>
      <c r="F440" s="51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1"/>
      <c r="D441" s="51"/>
      <c r="E441" s="51"/>
      <c r="F441" s="51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1"/>
      <c r="D442" s="51"/>
      <c r="E442" s="51"/>
      <c r="F442" s="51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1"/>
      <c r="D443" s="51"/>
      <c r="E443" s="51"/>
      <c r="F443" s="51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1"/>
      <c r="D444" s="51"/>
      <c r="E444" s="51"/>
      <c r="F444" s="51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1"/>
      <c r="D445" s="51"/>
      <c r="E445" s="51"/>
      <c r="F445" s="51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1"/>
      <c r="D446" s="51"/>
      <c r="E446" s="51"/>
      <c r="F446" s="51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1"/>
      <c r="D447" s="51"/>
      <c r="E447" s="51"/>
      <c r="F447" s="51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1"/>
      <c r="D448" s="51"/>
      <c r="E448" s="51"/>
      <c r="F448" s="51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1"/>
      <c r="D449" s="51"/>
      <c r="E449" s="51"/>
      <c r="F449" s="51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1"/>
      <c r="D450" s="51"/>
      <c r="E450" s="51"/>
      <c r="F450" s="51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1"/>
      <c r="D451" s="51"/>
      <c r="E451" s="51"/>
      <c r="F451" s="51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1"/>
      <c r="D452" s="51"/>
      <c r="E452" s="51"/>
      <c r="F452" s="51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1"/>
      <c r="D453" s="51"/>
      <c r="E453" s="51"/>
      <c r="F453" s="51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1"/>
      <c r="D454" s="51"/>
      <c r="E454" s="51"/>
      <c r="F454" s="51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1"/>
      <c r="D455" s="51"/>
      <c r="E455" s="51"/>
      <c r="F455" s="51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1"/>
      <c r="D456" s="51"/>
      <c r="E456" s="51"/>
      <c r="F456" s="51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1"/>
      <c r="D457" s="51"/>
      <c r="E457" s="51"/>
      <c r="F457" s="51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1"/>
      <c r="D458" s="51"/>
      <c r="E458" s="51"/>
      <c r="F458" s="51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1"/>
      <c r="D459" s="51"/>
      <c r="E459" s="51"/>
      <c r="F459" s="51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1"/>
      <c r="D460" s="51"/>
      <c r="E460" s="51"/>
      <c r="F460" s="51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1"/>
      <c r="D461" s="51"/>
      <c r="E461" s="51"/>
      <c r="F461" s="51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1"/>
      <c r="D462" s="51"/>
      <c r="E462" s="51"/>
      <c r="F462" s="51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1"/>
      <c r="D463" s="51"/>
      <c r="E463" s="51"/>
      <c r="F463" s="51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1"/>
      <c r="D464" s="51"/>
      <c r="E464" s="51"/>
      <c r="F464" s="51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1"/>
      <c r="D465" s="51"/>
      <c r="E465" s="51"/>
      <c r="F465" s="51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1"/>
      <c r="D466" s="51"/>
      <c r="E466" s="51"/>
      <c r="F466" s="51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1"/>
      <c r="D467" s="51"/>
      <c r="E467" s="51"/>
      <c r="F467" s="51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1"/>
      <c r="D468" s="51"/>
      <c r="E468" s="51"/>
      <c r="F468" s="51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1"/>
      <c r="D469" s="51"/>
      <c r="E469" s="51"/>
      <c r="F469" s="51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1"/>
      <c r="D470" s="51"/>
      <c r="E470" s="51"/>
      <c r="F470" s="51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1"/>
      <c r="D471" s="51"/>
      <c r="E471" s="51"/>
      <c r="F471" s="51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1"/>
      <c r="D472" s="51"/>
      <c r="E472" s="51"/>
      <c r="F472" s="51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1"/>
      <c r="D473" s="51"/>
      <c r="E473" s="51"/>
      <c r="F473" s="51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1"/>
      <c r="D474" s="51"/>
      <c r="E474" s="51"/>
      <c r="F474" s="51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1"/>
      <c r="D475" s="51"/>
      <c r="E475" s="51"/>
      <c r="F475" s="51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1"/>
      <c r="D476" s="51"/>
      <c r="E476" s="51"/>
      <c r="F476" s="51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1"/>
      <c r="D477" s="51"/>
      <c r="E477" s="51"/>
      <c r="F477" s="51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1"/>
      <c r="D478" s="51"/>
      <c r="E478" s="51"/>
      <c r="F478" s="51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1"/>
      <c r="D479" s="51"/>
      <c r="E479" s="51"/>
      <c r="F479" s="51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1"/>
      <c r="D480" s="51"/>
      <c r="E480" s="51"/>
      <c r="F480" s="51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1"/>
      <c r="D481" s="51"/>
      <c r="E481" s="51"/>
      <c r="F481" s="51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1"/>
      <c r="D482" s="51"/>
      <c r="E482" s="51"/>
      <c r="F482" s="51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1"/>
      <c r="D483" s="51"/>
      <c r="E483" s="51"/>
      <c r="F483" s="51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1"/>
      <c r="D484" s="51"/>
      <c r="E484" s="51"/>
      <c r="F484" s="51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1"/>
      <c r="D485" s="51"/>
      <c r="E485" s="51"/>
      <c r="F485" s="51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1"/>
      <c r="D486" s="51"/>
      <c r="E486" s="51"/>
      <c r="F486" s="51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1"/>
      <c r="D487" s="51"/>
      <c r="E487" s="51"/>
      <c r="F487" s="51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1"/>
      <c r="D488" s="51"/>
      <c r="E488" s="51"/>
      <c r="F488" s="51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1"/>
      <c r="D489" s="51"/>
      <c r="E489" s="51"/>
      <c r="F489" s="51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1"/>
      <c r="D490" s="51"/>
      <c r="E490" s="51"/>
      <c r="F490" s="51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1"/>
      <c r="D491" s="51"/>
      <c r="E491" s="51"/>
      <c r="F491" s="51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1"/>
      <c r="D492" s="51"/>
      <c r="E492" s="51"/>
      <c r="F492" s="51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1"/>
      <c r="D493" s="51"/>
      <c r="E493" s="51"/>
      <c r="F493" s="51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1"/>
      <c r="D494" s="51"/>
      <c r="E494" s="51"/>
      <c r="F494" s="51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1"/>
      <c r="D495" s="51"/>
      <c r="E495" s="51"/>
      <c r="F495" s="51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1"/>
      <c r="D496" s="51"/>
      <c r="E496" s="51"/>
      <c r="F496" s="51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1"/>
      <c r="D497" s="51"/>
      <c r="E497" s="51"/>
      <c r="F497" s="51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1"/>
      <c r="D498" s="51"/>
      <c r="E498" s="51"/>
      <c r="F498" s="51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1"/>
      <c r="D499" s="51"/>
      <c r="E499" s="51"/>
      <c r="F499" s="51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1"/>
      <c r="D500" s="51"/>
      <c r="E500" s="51"/>
      <c r="F500" s="51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1"/>
      <c r="D501" s="51"/>
      <c r="E501" s="51"/>
      <c r="F501" s="51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1"/>
      <c r="D502" s="51"/>
      <c r="E502" s="51"/>
      <c r="F502" s="51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1"/>
      <c r="D503" s="51"/>
      <c r="E503" s="51"/>
      <c r="F503" s="51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1"/>
      <c r="D504" s="51"/>
      <c r="E504" s="51"/>
      <c r="F504" s="51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1"/>
      <c r="D505" s="51"/>
      <c r="E505" s="51"/>
      <c r="F505" s="51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1"/>
      <c r="D506" s="51"/>
      <c r="E506" s="51"/>
      <c r="F506" s="51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1"/>
      <c r="D507" s="51"/>
      <c r="E507" s="51"/>
      <c r="F507" s="51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1"/>
      <c r="D508" s="51"/>
      <c r="E508" s="51"/>
      <c r="F508" s="51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1"/>
      <c r="D509" s="51"/>
      <c r="E509" s="51"/>
      <c r="F509" s="51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1"/>
      <c r="D510" s="51"/>
      <c r="E510" s="51"/>
      <c r="F510" s="51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1"/>
      <c r="D511" s="51"/>
      <c r="E511" s="51"/>
      <c r="F511" s="51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1"/>
      <c r="D512" s="51"/>
      <c r="E512" s="51"/>
      <c r="F512" s="51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1"/>
      <c r="D513" s="51"/>
      <c r="E513" s="51"/>
      <c r="F513" s="51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1"/>
      <c r="D514" s="51"/>
      <c r="E514" s="51"/>
      <c r="F514" s="51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1"/>
      <c r="D515" s="51"/>
      <c r="E515" s="51"/>
      <c r="F515" s="51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1"/>
      <c r="D516" s="51"/>
      <c r="E516" s="51"/>
      <c r="F516" s="51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1"/>
      <c r="D517" s="51"/>
      <c r="E517" s="51"/>
      <c r="F517" s="51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1"/>
      <c r="D518" s="51"/>
      <c r="E518" s="51"/>
      <c r="F518" s="51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1"/>
      <c r="D519" s="51"/>
      <c r="E519" s="51"/>
      <c r="F519" s="51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1"/>
      <c r="D520" s="51"/>
      <c r="E520" s="51"/>
      <c r="F520" s="51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1"/>
      <c r="D521" s="51"/>
      <c r="E521" s="51"/>
      <c r="F521" s="51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1"/>
      <c r="D522" s="51"/>
      <c r="E522" s="51"/>
      <c r="F522" s="51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1"/>
      <c r="D523" s="51"/>
      <c r="E523" s="51"/>
      <c r="F523" s="51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1"/>
      <c r="D524" s="51"/>
      <c r="E524" s="51"/>
      <c r="F524" s="51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1"/>
      <c r="D525" s="51"/>
      <c r="E525" s="51"/>
      <c r="F525" s="51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1"/>
      <c r="D526" s="51"/>
      <c r="E526" s="51"/>
      <c r="F526" s="51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1"/>
      <c r="D527" s="51"/>
      <c r="E527" s="51"/>
      <c r="F527" s="51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1"/>
      <c r="D528" s="51"/>
      <c r="E528" s="51"/>
      <c r="F528" s="51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1"/>
      <c r="D529" s="51"/>
      <c r="E529" s="51"/>
      <c r="F529" s="51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1"/>
      <c r="D530" s="51"/>
      <c r="E530" s="51"/>
      <c r="F530" s="51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1"/>
      <c r="D531" s="51"/>
      <c r="E531" s="51"/>
      <c r="F531" s="51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1"/>
      <c r="D532" s="51"/>
      <c r="E532" s="51"/>
      <c r="F532" s="51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1"/>
      <c r="D533" s="51"/>
      <c r="E533" s="51"/>
      <c r="F533" s="51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1"/>
      <c r="D534" s="51"/>
      <c r="E534" s="51"/>
      <c r="F534" s="51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1"/>
      <c r="D535" s="51"/>
      <c r="E535" s="51"/>
      <c r="F535" s="51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1"/>
      <c r="D536" s="51"/>
      <c r="E536" s="51"/>
      <c r="F536" s="51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1"/>
      <c r="D537" s="51"/>
      <c r="E537" s="51"/>
      <c r="F537" s="51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1"/>
      <c r="D538" s="51"/>
      <c r="E538" s="51"/>
      <c r="F538" s="51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1"/>
      <c r="D539" s="51"/>
      <c r="E539" s="51"/>
      <c r="F539" s="51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1"/>
      <c r="D540" s="51"/>
      <c r="E540" s="51"/>
      <c r="F540" s="51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1"/>
      <c r="D541" s="51"/>
      <c r="E541" s="51"/>
      <c r="F541" s="51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1"/>
      <c r="D542" s="51"/>
      <c r="E542" s="51"/>
      <c r="F542" s="51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1"/>
      <c r="D543" s="51"/>
      <c r="E543" s="51"/>
      <c r="F543" s="51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1"/>
      <c r="D544" s="51"/>
      <c r="E544" s="51"/>
      <c r="F544" s="51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1"/>
      <c r="D545" s="51"/>
      <c r="E545" s="51"/>
      <c r="F545" s="51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1"/>
      <c r="D546" s="51"/>
      <c r="E546" s="51"/>
      <c r="F546" s="51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1"/>
      <c r="D547" s="51"/>
      <c r="E547" s="51"/>
      <c r="F547" s="51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1"/>
      <c r="D548" s="51"/>
      <c r="E548" s="51"/>
      <c r="F548" s="51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1"/>
      <c r="D549" s="51"/>
      <c r="E549" s="51"/>
      <c r="F549" s="51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1"/>
      <c r="D550" s="51"/>
      <c r="E550" s="51"/>
      <c r="F550" s="51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1"/>
      <c r="D551" s="51"/>
      <c r="E551" s="51"/>
      <c r="F551" s="51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1"/>
      <c r="D552" s="51"/>
      <c r="E552" s="51"/>
      <c r="F552" s="51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1"/>
      <c r="D553" s="51"/>
      <c r="E553" s="51"/>
      <c r="F553" s="51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1"/>
      <c r="D554" s="51"/>
      <c r="E554" s="51"/>
      <c r="F554" s="51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1"/>
      <c r="D555" s="51"/>
      <c r="E555" s="51"/>
      <c r="F555" s="51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1"/>
      <c r="D556" s="51"/>
      <c r="E556" s="51"/>
      <c r="F556" s="51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1"/>
      <c r="D557" s="51"/>
      <c r="E557" s="51"/>
      <c r="F557" s="51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1"/>
      <c r="D558" s="51"/>
      <c r="E558" s="51"/>
      <c r="F558" s="51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1"/>
      <c r="D559" s="51"/>
      <c r="E559" s="51"/>
      <c r="F559" s="51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1"/>
      <c r="D560" s="51"/>
      <c r="E560" s="51"/>
      <c r="F560" s="51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1"/>
      <c r="D561" s="51"/>
      <c r="E561" s="51"/>
      <c r="F561" s="51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1"/>
      <c r="D562" s="51"/>
      <c r="E562" s="51"/>
      <c r="F562" s="51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1"/>
      <c r="D563" s="51"/>
      <c r="E563" s="51"/>
      <c r="F563" s="51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1"/>
      <c r="D564" s="51"/>
      <c r="E564" s="51"/>
      <c r="F564" s="51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1"/>
      <c r="D565" s="51"/>
      <c r="E565" s="51"/>
      <c r="F565" s="51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1"/>
      <c r="D566" s="51"/>
      <c r="E566" s="51"/>
      <c r="F566" s="51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1"/>
      <c r="D567" s="51"/>
      <c r="E567" s="51"/>
      <c r="F567" s="51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1"/>
      <c r="D568" s="51"/>
      <c r="E568" s="51"/>
      <c r="F568" s="51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1"/>
      <c r="D569" s="51"/>
      <c r="E569" s="51"/>
      <c r="F569" s="51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1"/>
      <c r="D570" s="51"/>
      <c r="E570" s="51"/>
      <c r="F570" s="51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1"/>
      <c r="D571" s="51"/>
      <c r="E571" s="51"/>
      <c r="F571" s="51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1"/>
      <c r="D572" s="51"/>
      <c r="E572" s="51"/>
      <c r="F572" s="51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1"/>
      <c r="D573" s="51"/>
      <c r="E573" s="51"/>
      <c r="F573" s="51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1"/>
      <c r="D574" s="51"/>
      <c r="E574" s="51"/>
      <c r="F574" s="51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1"/>
      <c r="D575" s="51"/>
      <c r="E575" s="51"/>
      <c r="F575" s="51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1"/>
      <c r="D576" s="51"/>
      <c r="E576" s="51"/>
      <c r="F576" s="51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1"/>
      <c r="D577" s="51"/>
      <c r="E577" s="51"/>
      <c r="F577" s="51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1"/>
      <c r="D578" s="51"/>
      <c r="E578" s="51"/>
      <c r="F578" s="51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1"/>
      <c r="D579" s="51"/>
      <c r="E579" s="51"/>
      <c r="F579" s="51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1"/>
      <c r="D580" s="51"/>
      <c r="E580" s="51"/>
      <c r="F580" s="51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1"/>
      <c r="D581" s="51"/>
      <c r="E581" s="51"/>
      <c r="F581" s="51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1"/>
      <c r="D582" s="51"/>
      <c r="E582" s="51"/>
      <c r="F582" s="51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1"/>
      <c r="D583" s="51"/>
      <c r="E583" s="51"/>
      <c r="F583" s="51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1"/>
      <c r="D584" s="51"/>
      <c r="E584" s="51"/>
      <c r="F584" s="51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1"/>
      <c r="D585" s="51"/>
      <c r="E585" s="51"/>
      <c r="F585" s="51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1"/>
      <c r="D586" s="51"/>
      <c r="E586" s="51"/>
      <c r="F586" s="51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1"/>
      <c r="D587" s="51"/>
      <c r="E587" s="51"/>
      <c r="F587" s="51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1"/>
      <c r="D588" s="51"/>
      <c r="E588" s="51"/>
      <c r="F588" s="51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1"/>
      <c r="D589" s="51"/>
      <c r="E589" s="51"/>
      <c r="F589" s="51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1"/>
      <c r="D590" s="51"/>
      <c r="E590" s="51"/>
      <c r="F590" s="51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1"/>
      <c r="D591" s="51"/>
      <c r="E591" s="51"/>
      <c r="F591" s="51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1"/>
      <c r="D592" s="51"/>
      <c r="E592" s="51"/>
      <c r="F592" s="51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1"/>
      <c r="D593" s="51"/>
      <c r="E593" s="51"/>
      <c r="F593" s="51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1"/>
      <c r="D594" s="51"/>
      <c r="E594" s="51"/>
      <c r="F594" s="51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1"/>
      <c r="D595" s="51"/>
      <c r="E595" s="51"/>
      <c r="F595" s="51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1"/>
      <c r="D596" s="51"/>
      <c r="E596" s="51"/>
      <c r="F596" s="51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1"/>
      <c r="D597" s="51"/>
      <c r="E597" s="51"/>
      <c r="F597" s="51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1"/>
      <c r="D598" s="51"/>
      <c r="E598" s="51"/>
      <c r="F598" s="51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1"/>
      <c r="D599" s="51"/>
      <c r="E599" s="51"/>
      <c r="F599" s="51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1"/>
      <c r="D600" s="51"/>
      <c r="E600" s="51"/>
      <c r="F600" s="51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1"/>
      <c r="D601" s="51"/>
      <c r="E601" s="51"/>
      <c r="F601" s="51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1"/>
      <c r="D602" s="51"/>
      <c r="E602" s="51"/>
      <c r="F602" s="51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1"/>
      <c r="D603" s="51"/>
      <c r="E603" s="51"/>
      <c r="F603" s="51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1"/>
      <c r="D604" s="51"/>
      <c r="E604" s="51"/>
      <c r="F604" s="51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1"/>
      <c r="D605" s="51"/>
      <c r="E605" s="51"/>
      <c r="F605" s="51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1"/>
      <c r="D606" s="51"/>
      <c r="E606" s="51"/>
      <c r="F606" s="51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1"/>
      <c r="D607" s="51"/>
      <c r="E607" s="51"/>
      <c r="F607" s="51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1"/>
      <c r="D608" s="51"/>
      <c r="E608" s="51"/>
      <c r="F608" s="51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1"/>
      <c r="D609" s="51"/>
      <c r="E609" s="51"/>
      <c r="F609" s="51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1"/>
      <c r="D610" s="51"/>
      <c r="E610" s="51"/>
      <c r="F610" s="51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1"/>
      <c r="D611" s="51"/>
      <c r="E611" s="51"/>
      <c r="F611" s="51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1"/>
      <c r="D612" s="51"/>
      <c r="E612" s="51"/>
      <c r="F612" s="51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1"/>
      <c r="D613" s="51"/>
      <c r="E613" s="51"/>
      <c r="F613" s="51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1"/>
      <c r="D614" s="51"/>
      <c r="E614" s="51"/>
      <c r="F614" s="51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1"/>
      <c r="D615" s="51"/>
      <c r="E615" s="51"/>
      <c r="F615" s="51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1"/>
      <c r="D616" s="51"/>
      <c r="E616" s="51"/>
      <c r="F616" s="51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1"/>
      <c r="D617" s="51"/>
      <c r="E617" s="51"/>
      <c r="F617" s="51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1"/>
      <c r="D618" s="51"/>
      <c r="E618" s="51"/>
      <c r="F618" s="51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1"/>
      <c r="D619" s="51"/>
      <c r="E619" s="51"/>
      <c r="F619" s="51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1"/>
      <c r="D620" s="51"/>
      <c r="E620" s="51"/>
      <c r="F620" s="51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1"/>
      <c r="D621" s="51"/>
      <c r="E621" s="51"/>
      <c r="F621" s="51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1"/>
      <c r="D622" s="51"/>
      <c r="E622" s="51"/>
      <c r="F622" s="51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1"/>
      <c r="D623" s="51"/>
      <c r="E623" s="51"/>
      <c r="F623" s="51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1"/>
      <c r="D624" s="51"/>
      <c r="E624" s="51"/>
      <c r="F624" s="51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1"/>
      <c r="D625" s="51"/>
      <c r="E625" s="51"/>
      <c r="F625" s="51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1"/>
      <c r="D626" s="51"/>
      <c r="E626" s="51"/>
      <c r="F626" s="51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1"/>
      <c r="D627" s="51"/>
      <c r="E627" s="51"/>
      <c r="F627" s="51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1"/>
      <c r="D628" s="51"/>
      <c r="E628" s="51"/>
      <c r="F628" s="51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1"/>
      <c r="D629" s="51"/>
      <c r="E629" s="51"/>
      <c r="F629" s="51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1"/>
      <c r="D630" s="51"/>
      <c r="E630" s="51"/>
      <c r="F630" s="51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1"/>
      <c r="D631" s="51"/>
      <c r="E631" s="51"/>
      <c r="F631" s="51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1"/>
      <c r="D632" s="51"/>
      <c r="E632" s="51"/>
      <c r="F632" s="51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1"/>
      <c r="D633" s="51"/>
      <c r="E633" s="51"/>
      <c r="F633" s="51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1"/>
      <c r="D634" s="51"/>
      <c r="E634" s="51"/>
      <c r="F634" s="51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1"/>
      <c r="D635" s="51"/>
      <c r="E635" s="51"/>
      <c r="F635" s="51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1"/>
      <c r="D636" s="51"/>
      <c r="E636" s="51"/>
      <c r="F636" s="51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1"/>
      <c r="D637" s="51"/>
      <c r="E637" s="51"/>
      <c r="F637" s="51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1"/>
      <c r="D638" s="51"/>
      <c r="E638" s="51"/>
      <c r="F638" s="51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1"/>
      <c r="D639" s="51"/>
      <c r="E639" s="51"/>
      <c r="F639" s="51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1"/>
      <c r="D640" s="51"/>
      <c r="E640" s="51"/>
      <c r="F640" s="51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1"/>
      <c r="D641" s="51"/>
      <c r="E641" s="51"/>
      <c r="F641" s="51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1"/>
      <c r="D642" s="51"/>
      <c r="E642" s="51"/>
      <c r="F642" s="51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1"/>
      <c r="D643" s="51"/>
      <c r="E643" s="51"/>
      <c r="F643" s="51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1"/>
      <c r="D644" s="51"/>
      <c r="E644" s="51"/>
      <c r="F644" s="51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1"/>
      <c r="D645" s="51"/>
      <c r="E645" s="51"/>
      <c r="F645" s="51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1"/>
      <c r="D646" s="51"/>
      <c r="E646" s="51"/>
      <c r="F646" s="51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1"/>
      <c r="D647" s="51"/>
      <c r="E647" s="51"/>
      <c r="F647" s="51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1"/>
      <c r="D648" s="51"/>
      <c r="E648" s="51"/>
      <c r="F648" s="51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1"/>
      <c r="D649" s="51"/>
      <c r="E649" s="51"/>
      <c r="F649" s="51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1"/>
      <c r="D650" s="51"/>
      <c r="E650" s="51"/>
      <c r="F650" s="51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1"/>
      <c r="D651" s="51"/>
      <c r="E651" s="51"/>
      <c r="F651" s="51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1"/>
      <c r="D652" s="51"/>
      <c r="E652" s="51"/>
      <c r="F652" s="51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1"/>
      <c r="D653" s="51"/>
      <c r="E653" s="51"/>
      <c r="F653" s="51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1"/>
      <c r="D654" s="51"/>
      <c r="E654" s="51"/>
      <c r="F654" s="51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1"/>
      <c r="D655" s="51"/>
      <c r="E655" s="51"/>
      <c r="F655" s="51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1"/>
      <c r="D656" s="51"/>
      <c r="E656" s="51"/>
      <c r="F656" s="51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1"/>
      <c r="D657" s="51"/>
      <c r="E657" s="51"/>
      <c r="F657" s="51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1"/>
      <c r="D658" s="51"/>
      <c r="E658" s="51"/>
      <c r="F658" s="51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1"/>
      <c r="D659" s="51"/>
      <c r="E659" s="51"/>
      <c r="F659" s="51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1"/>
      <c r="D660" s="51"/>
      <c r="E660" s="51"/>
      <c r="F660" s="51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1"/>
      <c r="D661" s="51"/>
      <c r="E661" s="51"/>
      <c r="F661" s="51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1"/>
      <c r="D662" s="51"/>
      <c r="E662" s="51"/>
      <c r="F662" s="51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1"/>
      <c r="D663" s="51"/>
      <c r="E663" s="51"/>
      <c r="F663" s="51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1"/>
      <c r="D664" s="51"/>
      <c r="E664" s="51"/>
      <c r="F664" s="51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1"/>
      <c r="D665" s="51"/>
      <c r="E665" s="51"/>
      <c r="F665" s="51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1"/>
      <c r="D666" s="51"/>
      <c r="E666" s="51"/>
      <c r="F666" s="51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1"/>
      <c r="D667" s="51"/>
      <c r="E667" s="51"/>
      <c r="F667" s="51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1"/>
      <c r="D668" s="51"/>
      <c r="E668" s="51"/>
      <c r="F668" s="51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1"/>
      <c r="D669" s="51"/>
      <c r="E669" s="51"/>
      <c r="F669" s="51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1"/>
      <c r="D670" s="51"/>
      <c r="E670" s="51"/>
      <c r="F670" s="51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1"/>
      <c r="D671" s="51"/>
      <c r="E671" s="51"/>
      <c r="F671" s="51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1"/>
      <c r="D672" s="51"/>
      <c r="E672" s="51"/>
      <c r="F672" s="51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1"/>
      <c r="D673" s="51"/>
      <c r="E673" s="51"/>
      <c r="F673" s="51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1"/>
      <c r="D674" s="51"/>
      <c r="E674" s="51"/>
      <c r="F674" s="51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1"/>
      <c r="D675" s="51"/>
      <c r="E675" s="51"/>
      <c r="F675" s="51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1"/>
      <c r="D676" s="51"/>
      <c r="E676" s="51"/>
      <c r="F676" s="51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1"/>
      <c r="D677" s="51"/>
      <c r="E677" s="51"/>
      <c r="F677" s="51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1"/>
      <c r="D678" s="51"/>
      <c r="E678" s="51"/>
      <c r="F678" s="51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1"/>
      <c r="D679" s="51"/>
      <c r="E679" s="51"/>
      <c r="F679" s="51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1"/>
      <c r="D680" s="51"/>
      <c r="E680" s="51"/>
      <c r="F680" s="51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1"/>
      <c r="D681" s="51"/>
      <c r="E681" s="51"/>
      <c r="F681" s="51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1"/>
      <c r="D682" s="51"/>
      <c r="E682" s="51"/>
      <c r="F682" s="51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1"/>
      <c r="D683" s="51"/>
      <c r="E683" s="51"/>
      <c r="F683" s="51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1"/>
      <c r="D684" s="51"/>
      <c r="E684" s="51"/>
      <c r="F684" s="51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1"/>
      <c r="D685" s="51"/>
      <c r="E685" s="51"/>
      <c r="F685" s="51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1"/>
      <c r="D686" s="51"/>
      <c r="E686" s="51"/>
      <c r="F686" s="51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1"/>
      <c r="D687" s="51"/>
      <c r="E687" s="51"/>
      <c r="F687" s="51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1"/>
      <c r="D688" s="51"/>
      <c r="E688" s="51"/>
      <c r="F688" s="51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1"/>
      <c r="D689" s="51"/>
      <c r="E689" s="51"/>
      <c r="F689" s="51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1"/>
      <c r="D690" s="51"/>
      <c r="E690" s="51"/>
      <c r="F690" s="51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1"/>
      <c r="D691" s="51"/>
      <c r="E691" s="51"/>
      <c r="F691" s="51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1"/>
      <c r="D692" s="51"/>
      <c r="E692" s="51"/>
      <c r="F692" s="51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1"/>
      <c r="D693" s="51"/>
      <c r="E693" s="51"/>
      <c r="F693" s="51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1"/>
      <c r="D694" s="51"/>
      <c r="E694" s="51"/>
      <c r="F694" s="51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1"/>
      <c r="D695" s="51"/>
      <c r="E695" s="51"/>
      <c r="F695" s="51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1"/>
      <c r="D696" s="51"/>
      <c r="E696" s="51"/>
      <c r="F696" s="51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1"/>
      <c r="D697" s="51"/>
      <c r="E697" s="51"/>
      <c r="F697" s="51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1"/>
      <c r="D698" s="51"/>
      <c r="E698" s="51"/>
      <c r="F698" s="51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1"/>
      <c r="D699" s="51"/>
      <c r="E699" s="51"/>
      <c r="F699" s="51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1"/>
      <c r="D700" s="51"/>
      <c r="E700" s="51"/>
      <c r="F700" s="51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1"/>
      <c r="D701" s="51"/>
      <c r="E701" s="51"/>
      <c r="F701" s="51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1"/>
      <c r="D702" s="51"/>
      <c r="E702" s="51"/>
      <c r="F702" s="51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1"/>
      <c r="D703" s="51"/>
      <c r="E703" s="51"/>
      <c r="F703" s="51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1"/>
      <c r="D704" s="51"/>
      <c r="E704" s="51"/>
      <c r="F704" s="51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1"/>
      <c r="D705" s="51"/>
      <c r="E705" s="51"/>
      <c r="F705" s="51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1"/>
      <c r="D706" s="51"/>
      <c r="E706" s="51"/>
      <c r="F706" s="51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1"/>
      <c r="D707" s="51"/>
      <c r="E707" s="51"/>
      <c r="F707" s="51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1"/>
      <c r="D708" s="51"/>
      <c r="E708" s="51"/>
      <c r="F708" s="51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1"/>
      <c r="D709" s="51"/>
      <c r="E709" s="51"/>
      <c r="F709" s="51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1"/>
      <c r="D710" s="51"/>
      <c r="E710" s="51"/>
      <c r="F710" s="51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1"/>
      <c r="D711" s="51"/>
      <c r="E711" s="51"/>
      <c r="F711" s="51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1"/>
      <c r="D712" s="51"/>
      <c r="E712" s="51"/>
      <c r="F712" s="51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1"/>
      <c r="D713" s="51"/>
      <c r="E713" s="51"/>
      <c r="F713" s="51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1"/>
      <c r="D714" s="51"/>
      <c r="E714" s="51"/>
      <c r="F714" s="51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1"/>
      <c r="D715" s="51"/>
      <c r="E715" s="51"/>
      <c r="F715" s="51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1"/>
      <c r="D716" s="51"/>
      <c r="E716" s="51"/>
      <c r="F716" s="51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1"/>
      <c r="D717" s="51"/>
      <c r="E717" s="51"/>
      <c r="F717" s="51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1"/>
      <c r="D718" s="51"/>
      <c r="E718" s="51"/>
      <c r="F718" s="51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1"/>
      <c r="D719" s="51"/>
      <c r="E719" s="51"/>
      <c r="F719" s="51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1"/>
      <c r="D720" s="51"/>
      <c r="E720" s="51"/>
      <c r="F720" s="51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1"/>
      <c r="D721" s="51"/>
      <c r="E721" s="51"/>
      <c r="F721" s="51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1"/>
      <c r="D722" s="51"/>
      <c r="E722" s="51"/>
      <c r="F722" s="51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1"/>
      <c r="D723" s="51"/>
      <c r="E723" s="51"/>
      <c r="F723" s="51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1"/>
      <c r="D724" s="51"/>
      <c r="E724" s="51"/>
      <c r="F724" s="51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1"/>
      <c r="D725" s="51"/>
      <c r="E725" s="51"/>
      <c r="F725" s="51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1"/>
      <c r="D726" s="51"/>
      <c r="E726" s="51"/>
      <c r="F726" s="51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1"/>
      <c r="D727" s="51"/>
      <c r="E727" s="51"/>
      <c r="F727" s="51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1"/>
      <c r="D728" s="51"/>
      <c r="E728" s="51"/>
      <c r="F728" s="51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1"/>
      <c r="D729" s="51"/>
      <c r="E729" s="51"/>
      <c r="F729" s="51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1"/>
      <c r="D730" s="51"/>
      <c r="E730" s="51"/>
      <c r="F730" s="51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1"/>
      <c r="D731" s="51"/>
      <c r="E731" s="51"/>
      <c r="F731" s="51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1"/>
      <c r="D732" s="51"/>
      <c r="E732" s="51"/>
      <c r="F732" s="51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1"/>
      <c r="D733" s="51"/>
      <c r="E733" s="51"/>
      <c r="F733" s="51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1"/>
      <c r="D734" s="51"/>
      <c r="E734" s="51"/>
      <c r="F734" s="51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1"/>
      <c r="D735" s="51"/>
      <c r="E735" s="51"/>
      <c r="F735" s="51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1"/>
      <c r="D736" s="51"/>
      <c r="E736" s="51"/>
      <c r="F736" s="51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1"/>
      <c r="D737" s="51"/>
      <c r="E737" s="51"/>
      <c r="F737" s="51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1"/>
      <c r="D738" s="51"/>
      <c r="E738" s="51"/>
      <c r="F738" s="51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1"/>
      <c r="D739" s="51"/>
      <c r="E739" s="51"/>
      <c r="F739" s="51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1"/>
      <c r="D740" s="51"/>
      <c r="E740" s="51"/>
      <c r="F740" s="51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1"/>
      <c r="D741" s="51"/>
      <c r="E741" s="51"/>
      <c r="F741" s="51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1"/>
      <c r="D742" s="51"/>
      <c r="E742" s="51"/>
      <c r="F742" s="51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1"/>
      <c r="D743" s="51"/>
      <c r="E743" s="51"/>
      <c r="F743" s="51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1"/>
      <c r="D744" s="51"/>
      <c r="E744" s="51"/>
      <c r="F744" s="51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1"/>
      <c r="D745" s="51"/>
      <c r="E745" s="51"/>
      <c r="F745" s="51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1"/>
      <c r="D746" s="51"/>
      <c r="E746" s="51"/>
      <c r="F746" s="51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1"/>
      <c r="D747" s="51"/>
      <c r="E747" s="51"/>
      <c r="F747" s="51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1"/>
      <c r="D748" s="51"/>
      <c r="E748" s="51"/>
      <c r="F748" s="51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1"/>
      <c r="D749" s="51"/>
      <c r="E749" s="51"/>
      <c r="F749" s="51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1"/>
      <c r="D750" s="51"/>
      <c r="E750" s="51"/>
      <c r="F750" s="51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1"/>
      <c r="D751" s="51"/>
      <c r="E751" s="51"/>
      <c r="F751" s="51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1"/>
      <c r="D752" s="51"/>
      <c r="E752" s="51"/>
      <c r="F752" s="51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1"/>
      <c r="D753" s="51"/>
      <c r="E753" s="51"/>
      <c r="F753" s="51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1"/>
      <c r="D754" s="51"/>
      <c r="E754" s="51"/>
      <c r="F754" s="51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1"/>
      <c r="D755" s="51"/>
      <c r="E755" s="51"/>
      <c r="F755" s="51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1"/>
      <c r="D756" s="51"/>
      <c r="E756" s="51"/>
      <c r="F756" s="51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1"/>
      <c r="D757" s="51"/>
      <c r="E757" s="51"/>
      <c r="F757" s="51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1"/>
      <c r="D758" s="51"/>
      <c r="E758" s="51"/>
      <c r="F758" s="51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1"/>
      <c r="D759" s="51"/>
      <c r="E759" s="51"/>
      <c r="F759" s="51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1"/>
      <c r="D760" s="51"/>
      <c r="E760" s="51"/>
      <c r="F760" s="51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1"/>
      <c r="D761" s="51"/>
      <c r="E761" s="51"/>
      <c r="F761" s="51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1"/>
      <c r="D762" s="51"/>
      <c r="E762" s="51"/>
      <c r="F762" s="51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1"/>
      <c r="D763" s="51"/>
      <c r="E763" s="51"/>
      <c r="F763" s="51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1"/>
      <c r="D764" s="51"/>
      <c r="E764" s="51"/>
      <c r="F764" s="51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1"/>
      <c r="D765" s="51"/>
      <c r="E765" s="51"/>
      <c r="F765" s="51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1"/>
      <c r="D766" s="51"/>
      <c r="E766" s="51"/>
      <c r="F766" s="51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1"/>
      <c r="D767" s="51"/>
      <c r="E767" s="51"/>
      <c r="F767" s="51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1"/>
      <c r="D768" s="51"/>
      <c r="E768" s="51"/>
      <c r="F768" s="51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1"/>
      <c r="D769" s="51"/>
      <c r="E769" s="51"/>
      <c r="F769" s="51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1"/>
      <c r="D770" s="51"/>
      <c r="E770" s="51"/>
      <c r="F770" s="51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1"/>
      <c r="D771" s="51"/>
      <c r="E771" s="51"/>
      <c r="F771" s="51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1"/>
      <c r="D772" s="51"/>
      <c r="E772" s="51"/>
      <c r="F772" s="51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1"/>
      <c r="D773" s="51"/>
      <c r="E773" s="51"/>
      <c r="F773" s="51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1"/>
      <c r="D774" s="51"/>
      <c r="E774" s="51"/>
      <c r="F774" s="51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1"/>
      <c r="D775" s="51"/>
      <c r="E775" s="51"/>
      <c r="F775" s="51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1"/>
      <c r="D776" s="51"/>
      <c r="E776" s="51"/>
      <c r="F776" s="51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1"/>
      <c r="D777" s="51"/>
      <c r="E777" s="51"/>
      <c r="F777" s="51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1"/>
      <c r="D778" s="51"/>
      <c r="E778" s="51"/>
      <c r="F778" s="51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1"/>
      <c r="D779" s="51"/>
      <c r="E779" s="51"/>
      <c r="F779" s="51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1"/>
      <c r="D780" s="51"/>
      <c r="E780" s="51"/>
      <c r="F780" s="51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1"/>
      <c r="D781" s="51"/>
      <c r="E781" s="51"/>
      <c r="F781" s="51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1"/>
      <c r="D782" s="51"/>
      <c r="E782" s="51"/>
      <c r="F782" s="51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1"/>
      <c r="D783" s="51"/>
      <c r="E783" s="51"/>
      <c r="F783" s="51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1"/>
      <c r="D784" s="51"/>
      <c r="E784" s="51"/>
      <c r="F784" s="51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1"/>
      <c r="D785" s="51"/>
      <c r="E785" s="51"/>
      <c r="F785" s="51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1"/>
      <c r="D786" s="51"/>
      <c r="E786" s="51"/>
      <c r="F786" s="51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1"/>
      <c r="D787" s="51"/>
      <c r="E787" s="51"/>
      <c r="F787" s="51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7+vmLEUHtak4KkixS2Hzr40SzyBtFyGb3zW6eJdEEbLWmPENQXgC+iJQue4JoPNaXFY/Q7oTtpdzu7ye6jai3w==" saltValue="L7aRs4yqCxwVm223663mGg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'[2]Объекты '!#REF!</xm:f>
          </x14:formula1>
          <xm:sqref>F184:F373</xm:sqref>
        </x14:dataValidation>
        <x14:dataValidation type="list" allowBlank="1" showInputMessage="1" showErrorMessage="1">
          <x14:formula1>
            <xm:f>[2]Должности!#REF!</xm:f>
          </x14:formula1>
          <xm:sqref>E184:E365</xm:sqref>
        </x14:dataValidation>
        <x14:dataValidation type="list" allowBlank="1" showInputMessage="1" showErrorMessage="1">
          <x14:formula1>
            <xm:f>[3]сотрудники!#REF!</xm:f>
          </x14:formula1>
          <xm:sqref>B17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topLeftCell="A7"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310</v>
      </c>
    </row>
    <row r="2" spans="1:1" x14ac:dyDescent="0.25">
      <c r="A2" s="7" t="s">
        <v>33</v>
      </c>
    </row>
    <row r="3" spans="1:1" x14ac:dyDescent="0.25">
      <c r="A3" s="7" t="s">
        <v>129</v>
      </c>
    </row>
    <row r="4" spans="1:1" x14ac:dyDescent="0.25">
      <c r="A4" s="7" t="s">
        <v>127</v>
      </c>
    </row>
    <row r="5" spans="1:1" x14ac:dyDescent="0.25">
      <c r="A5" s="40" t="s">
        <v>59</v>
      </c>
    </row>
    <row r="6" spans="1:1" x14ac:dyDescent="0.25">
      <c r="A6" s="44" t="s">
        <v>362</v>
      </c>
    </row>
    <row r="7" spans="1:1" x14ac:dyDescent="0.25">
      <c r="A7" s="40" t="s">
        <v>130</v>
      </c>
    </row>
    <row r="8" spans="1:1" x14ac:dyDescent="0.25">
      <c r="A8" s="40" t="s">
        <v>352</v>
      </c>
    </row>
    <row r="9" spans="1:1" x14ac:dyDescent="0.25">
      <c r="A9" s="40" t="s">
        <v>22</v>
      </c>
    </row>
    <row r="10" spans="1:1" x14ac:dyDescent="0.25">
      <c r="A10" s="40" t="s">
        <v>83</v>
      </c>
    </row>
    <row r="11" spans="1:1" x14ac:dyDescent="0.25">
      <c r="A11" s="40" t="s">
        <v>353</v>
      </c>
    </row>
    <row r="12" spans="1:1" x14ac:dyDescent="0.25">
      <c r="A12" s="40" t="s">
        <v>41</v>
      </c>
    </row>
    <row r="13" spans="1:1" x14ac:dyDescent="0.25">
      <c r="A13" s="40" t="s">
        <v>128</v>
      </c>
    </row>
    <row r="14" spans="1:1" x14ac:dyDescent="0.25">
      <c r="A14" s="43" t="s">
        <v>354</v>
      </c>
    </row>
    <row r="15" spans="1:1" x14ac:dyDescent="0.25">
      <c r="A15" s="40" t="s">
        <v>125</v>
      </c>
    </row>
    <row r="16" spans="1:1" x14ac:dyDescent="0.25">
      <c r="A16" s="40" t="s">
        <v>111</v>
      </c>
    </row>
    <row r="17" spans="1:1" x14ac:dyDescent="0.25">
      <c r="A17" s="40" t="s">
        <v>25</v>
      </c>
    </row>
    <row r="18" spans="1:1" x14ac:dyDescent="0.25">
      <c r="A18" s="43" t="s">
        <v>350</v>
      </c>
    </row>
    <row r="19" spans="1:1" x14ac:dyDescent="0.25">
      <c r="A19" s="40" t="s">
        <v>6</v>
      </c>
    </row>
    <row r="20" spans="1:1" x14ac:dyDescent="0.25">
      <c r="A20" s="5" t="s">
        <v>366</v>
      </c>
    </row>
    <row r="21" spans="1:1" x14ac:dyDescent="0.25">
      <c r="A21" s="40" t="s">
        <v>108</v>
      </c>
    </row>
    <row r="22" spans="1:1" x14ac:dyDescent="0.25">
      <c r="A22" s="24" t="s">
        <v>228</v>
      </c>
    </row>
    <row r="23" spans="1:1" x14ac:dyDescent="0.25">
      <c r="A23" s="40" t="s">
        <v>126</v>
      </c>
    </row>
    <row r="24" spans="1:1" x14ac:dyDescent="0.25">
      <c r="A24" s="40" t="s">
        <v>123</v>
      </c>
    </row>
    <row r="25" spans="1:1" x14ac:dyDescent="0.25">
      <c r="A25" s="40" t="s">
        <v>95</v>
      </c>
    </row>
    <row r="26" spans="1:1" x14ac:dyDescent="0.25">
      <c r="A26" s="40" t="s">
        <v>99</v>
      </c>
    </row>
    <row r="27" spans="1:1" x14ac:dyDescent="0.25">
      <c r="A27" s="43" t="s">
        <v>340</v>
      </c>
    </row>
    <row r="28" spans="1:1" x14ac:dyDescent="0.25">
      <c r="A28" s="40" t="s">
        <v>356</v>
      </c>
    </row>
    <row r="29" spans="1:1" x14ac:dyDescent="0.25">
      <c r="A29" s="40" t="s">
        <v>355</v>
      </c>
    </row>
    <row r="30" spans="1:1" x14ac:dyDescent="0.25">
      <c r="A30" s="40" t="s">
        <v>357</v>
      </c>
    </row>
    <row r="31" spans="1:1" x14ac:dyDescent="0.25">
      <c r="A31" s="4" t="s">
        <v>309</v>
      </c>
    </row>
    <row r="32" spans="1:1" x14ac:dyDescent="0.25">
      <c r="A32" s="7" t="s">
        <v>124</v>
      </c>
    </row>
    <row r="33" spans="1:1" x14ac:dyDescent="0.25">
      <c r="A33" s="7" t="s">
        <v>131</v>
      </c>
    </row>
    <row r="34" spans="1:1" x14ac:dyDescent="0.25">
      <c r="A34" s="66" t="s">
        <v>379</v>
      </c>
    </row>
    <row r="35" spans="1:1" x14ac:dyDescent="0.25">
      <c r="A35" s="4" t="s">
        <v>230</v>
      </c>
    </row>
    <row r="36" spans="1:1" x14ac:dyDescent="0.25">
      <c r="A36" s="7" t="s">
        <v>105</v>
      </c>
    </row>
    <row r="37" spans="1:1" x14ac:dyDescent="0.25">
      <c r="A37" s="24" t="s">
        <v>327</v>
      </c>
    </row>
    <row r="38" spans="1:1" x14ac:dyDescent="0.25">
      <c r="A38" s="5" t="s">
        <v>365</v>
      </c>
    </row>
    <row r="39" spans="1:1" x14ac:dyDescent="0.25">
      <c r="A39" s="7" t="s">
        <v>67</v>
      </c>
    </row>
    <row r="40" spans="1:1" x14ac:dyDescent="0.25">
      <c r="A40" s="5" t="s">
        <v>312</v>
      </c>
    </row>
    <row r="41" spans="1:1" x14ac:dyDescent="0.25">
      <c r="A41" s="4" t="s">
        <v>229</v>
      </c>
    </row>
    <row r="42" spans="1:1" x14ac:dyDescent="0.25">
      <c r="A42" s="5" t="s">
        <v>337</v>
      </c>
    </row>
    <row r="43" spans="1:1" x14ac:dyDescent="0.25">
      <c r="A43" t="s">
        <v>370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2025-12-19T07:15:35Z</cp:lastPrinted>
  <dcterms:created xsi:type="dcterms:W3CDTF">2025-01-29T06:40:08Z</dcterms:created>
  <dcterms:modified xsi:type="dcterms:W3CDTF">2025-12-19T07:15:55Z</dcterms:modified>
</cp:coreProperties>
</file>