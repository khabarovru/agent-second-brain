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 tabRatio="773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3" i="1"/>
  <c r="H14" i="1"/>
  <c r="H15" i="1"/>
  <c r="H3" i="1"/>
  <c r="H16" i="1" s="1"/>
</calcChain>
</file>

<file path=xl/sharedStrings.xml><?xml version="1.0" encoding="utf-8"?>
<sst xmlns="http://schemas.openxmlformats.org/spreadsheetml/2006/main" count="36" uniqueCount="18">
  <si>
    <t>№ п\п</t>
  </si>
  <si>
    <t>Производитель лифта, марка</t>
  </si>
  <si>
    <t>Заводской номер</t>
  </si>
  <si>
    <t>Назначение и г\п (кг)</t>
  </si>
  <si>
    <t>Кол-во остановок</t>
  </si>
  <si>
    <t>KONE Corporation</t>
  </si>
  <si>
    <t>ППП - 1000</t>
  </si>
  <si>
    <t>П - 630</t>
  </si>
  <si>
    <t>Hyundai</t>
  </si>
  <si>
    <t>Т 12969 L01</t>
  </si>
  <si>
    <t>П - 1600</t>
  </si>
  <si>
    <t>ThyssenKrupp</t>
  </si>
  <si>
    <t>GUXL 6000214</t>
  </si>
  <si>
    <t>ППдИ - 400</t>
  </si>
  <si>
    <t>МГ - 100</t>
  </si>
  <si>
    <t>Стоимость за единицу за месяц, руб., с учетом НДС 20%</t>
  </si>
  <si>
    <t>Новая цена с повышением на 10%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</si>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</sst>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abSelected="1" workbookViewId="0">
      <selection activeCell="I24" sqref="I24"/>
    </sheetView>
  </sheetViews>
  <sheetFormatPr defaultRowHeight="15" x14ac:dyDescent="0.25"/>
  <cols>
    <col min="3" max="3" width="23.5703125" customWidth="1"/>
    <col min="4" max="4" width="20.140625" customWidth="1"/>
    <col min="5" max="5" width="19.28515625" customWidth="1"/>
    <col min="7" max="7" width="30.28515625" customWidth="1"/>
    <col min="8" max="8" width="43.140625" customWidth="1"/>
  </cols>
  <sheetData>
    <row r="2" spans="2:8" ht="47.2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15</v>
      </c>
      <c r="H2" s="3" t="s">
        <v>16</v>
      </c>
    </row>
    <row r="3" spans="2:8" ht="15.75" x14ac:dyDescent="0.25">
      <c r="B3" s="4">
        <v>1</v>
      </c>
      <c r="C3" s="4" t="s">
        <v>5</v>
      </c>
      <c r="D3" s="4">
        <v>40265017</v>
      </c>
      <c r="E3" s="4" t="s">
        <v>6</v>
      </c>
      <c r="F3" s="4">
        <v>2</v>
      </c>
      <c r="G3" s="6">
        <v>4740</v>
      </c>
      <c r="H3" s="7">
        <f>SUM(G3*1.1)</f>
        <v>5214</v>
      </c>
    </row>
    <row r="4" spans="2:8" ht="15.75" x14ac:dyDescent="0.25">
      <c r="B4" s="4">
        <v>2</v>
      </c>
      <c r="C4" s="4" t="s">
        <v>5</v>
      </c>
      <c r="D4" s="4">
        <v>40265018</v>
      </c>
      <c r="E4" s="4" t="s">
        <v>7</v>
      </c>
      <c r="F4" s="4">
        <v>2</v>
      </c>
      <c r="G4" s="6">
        <v>4740</v>
      </c>
      <c r="H4" s="7">
        <f t="shared" ref="H4:H15" si="0">SUM(G4*1.1)</f>
        <v>5214</v>
      </c>
    </row>
    <row r="5" spans="2:8" ht="15.75" x14ac:dyDescent="0.25">
      <c r="B5" s="4">
        <v>3</v>
      </c>
      <c r="C5" s="4" t="s">
        <v>5</v>
      </c>
      <c r="D5" s="4">
        <v>40265019</v>
      </c>
      <c r="E5" s="4" t="s">
        <v>6</v>
      </c>
      <c r="F5" s="4">
        <v>4</v>
      </c>
      <c r="G5" s="6">
        <v>5236</v>
      </c>
      <c r="H5" s="7">
        <f t="shared" si="0"/>
        <v>5759.6</v>
      </c>
    </row>
    <row r="6" spans="2:8" ht="15.75" x14ac:dyDescent="0.25">
      <c r="B6" s="4">
        <v>4</v>
      </c>
      <c r="C6" s="4" t="s">
        <v>5</v>
      </c>
      <c r="D6" s="4">
        <v>40265023</v>
      </c>
      <c r="E6" s="4" t="s">
        <v>7</v>
      </c>
      <c r="F6" s="4">
        <v>3</v>
      </c>
      <c r="G6" s="6">
        <v>4860</v>
      </c>
      <c r="H6" s="7">
        <f t="shared" si="0"/>
        <v>5346</v>
      </c>
    </row>
    <row r="7" spans="2:8" ht="15.75" x14ac:dyDescent="0.25">
      <c r="B7" s="4">
        <v>5</v>
      </c>
      <c r="C7" s="4" t="s">
        <v>5</v>
      </c>
      <c r="D7" s="4">
        <v>40265026</v>
      </c>
      <c r="E7" s="4" t="s">
        <v>6</v>
      </c>
      <c r="F7" s="4">
        <v>2</v>
      </c>
      <c r="G7" s="6">
        <v>4690</v>
      </c>
      <c r="H7" s="7">
        <f t="shared" si="0"/>
        <v>5159</v>
      </c>
    </row>
    <row r="8" spans="2:8" ht="15.75" x14ac:dyDescent="0.25">
      <c r="B8" s="4">
        <v>6</v>
      </c>
      <c r="C8" s="4" t="s">
        <v>5</v>
      </c>
      <c r="D8" s="4">
        <v>40265020</v>
      </c>
      <c r="E8" s="4" t="s">
        <v>6</v>
      </c>
      <c r="F8" s="4">
        <v>3</v>
      </c>
      <c r="G8" s="6">
        <v>4860</v>
      </c>
      <c r="H8" s="7">
        <f t="shared" si="0"/>
        <v>5346</v>
      </c>
    </row>
    <row r="9" spans="2:8" ht="15.75" x14ac:dyDescent="0.25">
      <c r="B9" s="4">
        <v>7</v>
      </c>
      <c r="C9" s="4" t="s">
        <v>5</v>
      </c>
      <c r="D9" s="4">
        <v>40265021</v>
      </c>
      <c r="E9" s="4" t="s">
        <v>6</v>
      </c>
      <c r="F9" s="4">
        <v>2</v>
      </c>
      <c r="G9" s="6">
        <v>4590</v>
      </c>
      <c r="H9" s="7">
        <f t="shared" si="0"/>
        <v>5049</v>
      </c>
    </row>
    <row r="10" spans="2:8" ht="15.75" x14ac:dyDescent="0.25">
      <c r="B10" s="4">
        <v>8</v>
      </c>
      <c r="C10" s="4" t="s">
        <v>5</v>
      </c>
      <c r="D10" s="4">
        <v>40265024</v>
      </c>
      <c r="E10" s="4" t="s">
        <v>6</v>
      </c>
      <c r="F10" s="4">
        <v>3</v>
      </c>
      <c r="G10" s="6">
        <v>4860</v>
      </c>
      <c r="H10" s="7">
        <f t="shared" si="0"/>
        <v>5346</v>
      </c>
    </row>
    <row r="11" spans="2:8" ht="15.75" x14ac:dyDescent="0.25">
      <c r="B11" s="4">
        <v>9</v>
      </c>
      <c r="C11" s="4" t="s">
        <v>5</v>
      </c>
      <c r="D11" s="4">
        <v>40275527</v>
      </c>
      <c r="E11" s="4" t="s">
        <v>7</v>
      </c>
      <c r="F11" s="4">
        <v>3</v>
      </c>
      <c r="G11" s="6">
        <v>4860</v>
      </c>
      <c r="H11" s="7">
        <f t="shared" si="0"/>
        <v>5346</v>
      </c>
    </row>
    <row r="12" spans="2:8" ht="15.75" x14ac:dyDescent="0.25">
      <c r="B12" s="4">
        <v>10</v>
      </c>
      <c r="C12" s="4" t="s">
        <v>8</v>
      </c>
      <c r="D12" s="4" t="s">
        <v>9</v>
      </c>
      <c r="E12" s="4" t="s">
        <v>10</v>
      </c>
      <c r="F12" s="4">
        <v>2</v>
      </c>
      <c r="G12" s="6">
        <v>1690.29</v>
      </c>
      <c r="H12" s="7">
        <v>1859.32</v>
      </c>
    </row>
    <row r="13" spans="2:8" ht="15.75" x14ac:dyDescent="0.25">
      <c r="B13" s="4">
        <v>11</v>
      </c>
      <c r="C13" s="4" t="s">
        <v>11</v>
      </c>
      <c r="D13" s="4" t="s">
        <v>12</v>
      </c>
      <c r="E13" s="4" t="s">
        <v>13</v>
      </c>
      <c r="F13" s="4">
        <v>2</v>
      </c>
      <c r="G13" s="6">
        <v>4590</v>
      </c>
      <c r="H13" s="7">
        <f t="shared" si="0"/>
        <v>5049</v>
      </c>
    </row>
    <row r="14" spans="2:8" ht="15.75" x14ac:dyDescent="0.25">
      <c r="B14" s="4">
        <v>12</v>
      </c>
      <c r="C14" s="4" t="s">
        <v>5</v>
      </c>
      <c r="D14" s="4">
        <v>40265022</v>
      </c>
      <c r="E14" s="4" t="s">
        <v>14</v>
      </c>
      <c r="F14" s="4">
        <v>3</v>
      </c>
      <c r="G14" s="6">
        <v>2445</v>
      </c>
      <c r="H14" s="7">
        <f t="shared" si="0"/>
        <v>2689.5</v>
      </c>
    </row>
    <row r="15" spans="2:8" ht="15.75" x14ac:dyDescent="0.25">
      <c r="B15" s="4">
        <v>13</v>
      </c>
      <c r="C15" s="4" t="s">
        <v>5</v>
      </c>
      <c r="D15" s="4">
        <v>40265027</v>
      </c>
      <c r="E15" s="4" t="s">
        <v>14</v>
      </c>
      <c r="F15" s="4">
        <v>2</v>
      </c>
      <c r="G15" s="6">
        <v>2275</v>
      </c>
      <c r="H15" s="7">
        <f t="shared" si="0"/>
        <v>2502.5</v>
      </c>
    </row>
    <row r="16" spans="2:8" ht="15.75" x14ac:dyDescent="0.25">
      <c r="B16" s="5" t="s">
        <v>17</v>
      </c>
      <c r="C16" s="5"/>
      <c r="D16" s="5"/>
      <c r="E16" s="5"/>
      <c r="F16" s="5"/>
      <c r="G16" s="6">
        <v>54436.29</v>
      </c>
      <c r="H16" s="8">
        <f>SUM(H3:H15)</f>
        <v>59879.92</v>
      </c>
    </row>
    <row r="17" spans="2:7" ht="15.75" x14ac:dyDescent="0.25">
      <c r="B17" s="1"/>
      <c r="C17" s="1"/>
      <c r="D17" s="1"/>
      <c r="E17" s="1"/>
      <c r="F17" s="1"/>
      <c r="G17" s="1"/>
    </row>
  </sheetData>
  <mergeCells count="1">
    <mergeCell ref="B16:F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2026-03-04T14:20:59Z</dcterms:created>
  <dcterms:modified xsi:type="dcterms:W3CDTF">2026-03-04T14:39:59Z</dcterms:modified>
</cp:coreProperties>
</file>