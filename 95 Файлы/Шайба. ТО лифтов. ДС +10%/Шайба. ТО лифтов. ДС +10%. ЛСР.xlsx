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ВСЕ ОБЪЕКТЫ\ТО лифтов\"/>
    </mc:Choice>
  </mc:AlternateContent>
  <bookViews>
    <workbookView xWindow="0" yWindow="0" windowWidth="30504" windowHeight="11916"/>
  </bookViews>
  <sheets>
    <sheet name="ТО лифты_13 лифтов для договора" sheetId="1" r:id="rId1"/>
  </sheets>
  <definedNames>
    <definedName name="_xlnm.Print_Titles" localSheetId="0">'ТО лифты_13 лифтов для договора'!$26:$26</definedName>
    <definedName name="_xlnm.Print_Area" localSheetId="0">'ТО лифты_13 лифтов для договора'!$A:$J</definedName>
  </definedNames>
  <calcPr calcId="162913"/>
</workbook>
</file>

<file path=xl/calcChain.xml><?xml version="1.0" encoding="utf-8"?>
<calcChain xmlns="http://schemas.openxmlformats.org/spreadsheetml/2006/main">
  <c r="J44" i="1" l="1"/>
</calcChain>
</file>

<file path=xl/sharedStrings.xml><?xml version="1.0" encoding="utf-8"?>
<sst xmlns="http://schemas.openxmlformats.org/spreadsheetml/2006/main" count="107" uniqueCount="51">
  <si>
    <t>СОГЛАСОВАНО:</t>
  </si>
  <si>
    <t>УТВЕРЖДАЮ:</t>
  </si>
  <si>
    <t/>
  </si>
  <si>
    <t>"____" ________________ 2026 года</t>
  </si>
  <si>
    <t>(наименование стройки)</t>
  </si>
  <si>
    <t>ЛОКАЛЬНЫЙ РЕСУРСНЫЙ СМЕТНЫЙ РАСЧЕТ № 01</t>
  </si>
  <si>
    <t>(локальная смета)</t>
  </si>
  <si>
    <t>на Выполнение ежемесячного технического и аварийно-технических обслуживания, Малая ледовая арена для хоккея с шайбой, расположенная по адресу: Российская Федерация, Краснодарский край, федеральная территория «Сириус», поселок городского типа Сириус, проспект Олимпийский, д. 11.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</si>
  <si>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</si>
  <si>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</si>
  <si>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</si>
  <si>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</si>
  <si>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</si>
  <si>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</si>
  <si>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</si>
  <si>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</si>
  <si>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</si>
  <si>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</si>
  <si>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</si>
  <si>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</si>
  <si>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</si>
  <si>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</si>
  <si>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</si>
  <si>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</si>
  <si>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</si>
  <si>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</si>
  <si>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</si>
  <si>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</si>
  <si>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</si>
  <si>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ТО лифтов</t>
  </si>
  <si>
    <t>1</t>
  </si>
  <si>
    <t>14.5-105-1
Доп.12,16, Доп. 79</t>
  </si>
  <si>
    <t>Ежемесячное техническое обслуживание лифта</t>
  </si>
  <si>
    <t>1 лифт</t>
  </si>
  <si>
    <t>за 12 месяцев ПЗ=12 (ОЗП=12; ЭМ=12 к расх.; ЗПМ=12; МАТ=12 к расх.; ТЗ=12; ТЗМ=12)</t>
  </si>
  <si>
    <t>Накладные расходы 70% ФОТ (от 283 849,80)</t>
  </si>
  <si>
    <t>Сметная прибыль 43% ФОТ (от 283 849,80)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</si>
  <si>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</si>
  <si>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</si>
  <si>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</si>
  <si>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</si>
  <si>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</si>
  <si>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</si>
  <si>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</si>
  <si>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</si>
  <si>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</si>
  <si>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Договорной понижающий коэффициент 604 600,07 * 0,974169281</t>
  </si>
  <si>
    <t xml:space="preserve">     НДС 22%</t>
  </si>
  <si>
    <t xml:space="preserve">  ВСЕГО по смете</t>
  </si>
  <si>
    <t xml:space="preserve">  ВСЕГО по смете ежемесячно</t>
  </si>
  <si>
    <t>на ежемесячное техническое и аварийно-техническое обслуживание лифто на объекте: "Малая ледовая арена для хоккея с шайбой, расположенная по адресу: Российская Федерация, Краснодарский край, федеральная территория «Сириус», поселок городского типа Сириус, проспект Олимпийский, д. 11".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</si>
</sst>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b/>
      <sz val="10"/>
      <color rgb="FF000000"/>
      <name val="Arial"/>
      <charset val="204"/>
    </font>
    <font>
      <i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3" xfId="0" applyNumberFormat="1" applyFont="1" applyFill="1" applyBorder="1" applyAlignment="1" applyProtection="1">
      <alignment horizontal="left" vertical="top"/>
    </xf>
    <xf numFmtId="49" fontId="1" fillId="0" borderId="3" xfId="0" applyNumberFormat="1" applyFont="1" applyFill="1" applyBorder="1" applyAlignment="1" applyProtection="1"/>
    <xf numFmtId="49" fontId="3" fillId="0" borderId="3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1" fillId="0" borderId="4" xfId="0" applyNumberFormat="1" applyFont="1" applyFill="1" applyBorder="1" applyAlignment="1" applyProtection="1">
      <alignment horizontal="center" vertical="top" wrapText="1"/>
    </xf>
    <xf numFmtId="49" fontId="2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/>
    </xf>
    <xf numFmtId="0" fontId="9" fillId="0" borderId="3" xfId="0" applyNumberFormat="1" applyFont="1" applyFill="1" applyBorder="1" applyAlignment="1" applyProtection="1">
      <alignment horizontal="right" vertical="top" wrapText="1"/>
    </xf>
    <xf numFmtId="4" fontId="1" fillId="0" borderId="6" xfId="0" applyNumberFormat="1" applyFont="1" applyFill="1" applyBorder="1" applyAlignment="1" applyProtection="1">
      <alignment horizontal="right" vertical="top"/>
    </xf>
    <xf numFmtId="4" fontId="2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/>
    </xf>
    <xf numFmtId="4" fontId="1" fillId="2" borderId="4" xfId="0" applyNumberFormat="1" applyFont="1" applyFill="1" applyBorder="1" applyAlignment="1" applyProtection="1">
      <alignment horizontal="right" vertical="top"/>
    </xf>
    <xf numFmtId="0" fontId="1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5" xfId="0" applyNumberFormat="1" applyFont="1" applyFill="1" applyBorder="1" applyAlignment="1" applyProtection="1">
      <alignment horizontal="center" vertical="center" wrapText="1"/>
    </xf>
    <xf numFmtId="49" fontId="7" fillId="0" borderId="6" xfId="0" applyNumberFormat="1" applyFont="1" applyFill="1" applyBorder="1" applyAlignment="1" applyProtection="1">
      <alignment horizontal="center" vertical="center" wrapText="1"/>
    </xf>
    <xf numFmtId="49" fontId="7" fillId="0" borderId="7" xfId="0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49" fontId="8" fillId="0" borderId="5" xfId="0" applyNumberFormat="1" applyFont="1" applyFill="1" applyBorder="1" applyAlignment="1" applyProtection="1">
      <alignment horizontal="left" vertical="center" wrapText="1"/>
    </xf>
    <xf numFmtId="49" fontId="8" fillId="0" borderId="3" xfId="0" applyNumberFormat="1" applyFont="1" applyFill="1" applyBorder="1" applyAlignment="1" applyProtection="1">
      <alignment horizontal="left" vertical="center" wrapText="1"/>
    </xf>
    <xf numFmtId="49" fontId="8" fillId="0" borderId="6" xfId="0" applyNumberFormat="1" applyFont="1" applyFill="1" applyBorder="1" applyAlignment="1" applyProtection="1">
      <alignment horizontal="left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49" fontId="2" fillId="2" borderId="5" xfId="0" applyNumberFormat="1" applyFont="1" applyFill="1" applyBorder="1" applyAlignment="1" applyProtection="1">
      <alignment vertical="top" wrapText="1"/>
    </xf>
    <xf numFmtId="49" fontId="2" fillId="2" borderId="3" xfId="0" applyNumberFormat="1" applyFont="1" applyFill="1" applyBorder="1" applyAlignment="1" applyProtection="1">
      <alignment vertical="top" wrapText="1"/>
    </xf>
    <xf numFmtId="49" fontId="2" fillId="2" borderId="6" xfId="0" applyNumberFormat="1" applyFont="1" applyFill="1" applyBorder="1" applyAlignment="1" applyProtection="1">
      <alignment vertical="top" wrapText="1"/>
    </xf>
    <xf numFmtId="49" fontId="1" fillId="2" borderId="5" xfId="0" applyNumberFormat="1" applyFont="1" applyFill="1" applyBorder="1" applyAlignment="1" applyProtection="1">
      <alignment vertical="top" wrapText="1"/>
    </xf>
    <xf numFmtId="49" fontId="5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6"/>
  <sheetViews>
    <sheetView tabSelected="1" topLeftCell="A17" workbookViewId="0">
      <selection activeCell="N25" sqref="N25"/>
    </sheetView>
  </sheetViews>
  <sheetFormatPr defaultColWidth="9.109375" defaultRowHeight="11.25" customHeight="1" x14ac:dyDescent="0.2"/>
  <cols>
    <col min="1" max="1" width="9" style="1" customWidth="1"/>
    <col min="2" max="2" width="20.109375" style="1" customWidth="1"/>
    <col min="3" max="4" width="10.44140625" style="1" customWidth="1"/>
    <col min="5" max="5" width="13.33203125" style="1" customWidth="1"/>
    <col min="6" max="6" width="10.6640625" style="1" customWidth="1"/>
    <col min="7" max="8" width="9.6640625" style="1" customWidth="1"/>
    <col min="9" max="10" width="12.6640625" style="1" customWidth="1"/>
    <col min="11" max="12" width="9.6640625" style="1" customWidth="1"/>
    <col min="13" max="17" width="9.109375" style="1"/>
    <col min="18" max="21" width="50" style="2" hidden="1" customWidth="1"/>
    <col min="22" max="25" width="44.88671875" style="3" hidden="1" customWidth="1"/>
    <col min="26" max="45" width="118.88671875" style="4" hidden="1" customWidth="1"/>
    <col min="46" max="50" width="54.5546875" style="5" hidden="1" customWidth="1"/>
    <col min="51" max="56" width="68.88671875" style="6" hidden="1" customWidth="1"/>
    <col min="57" max="57" width="118.88671875" style="7" hidden="1" customWidth="1"/>
    <col min="58" max="58" width="34.109375" style="2" hidden="1" customWidth="1"/>
    <col min="59" max="59" width="89.6640625" style="2" hidden="1" customWidth="1"/>
    <col min="60" max="62" width="106.109375" style="3" hidden="1" customWidth="1"/>
    <col min="63" max="16384" width="9.109375" style="1"/>
  </cols>
  <sheetData>
    <row r="1" spans="1:50" customFormat="1" ht="14.4" x14ac:dyDescent="0.3">
      <c r="A1" s="8"/>
      <c r="B1" s="8"/>
      <c r="C1" s="8"/>
      <c r="D1" s="8"/>
      <c r="E1" s="8"/>
      <c r="F1" s="8"/>
      <c r="G1" s="8"/>
      <c r="H1" s="8"/>
      <c r="I1" s="8"/>
      <c r="J1" s="8"/>
    </row>
    <row r="2" spans="1:50" customFormat="1" ht="11.25" customHeight="1" x14ac:dyDescent="0.3">
      <c r="A2" s="55" t="s">
        <v>0</v>
      </c>
      <c r="B2" s="55"/>
      <c r="C2" s="55"/>
      <c r="D2" s="9"/>
      <c r="E2" s="9"/>
      <c r="G2" s="8"/>
      <c r="H2" s="55" t="s">
        <v>1</v>
      </c>
      <c r="I2" s="55"/>
      <c r="J2" s="55"/>
    </row>
    <row r="3" spans="1:50" customFormat="1" ht="11.25" customHeight="1" x14ac:dyDescent="0.3">
      <c r="A3" s="56"/>
      <c r="B3" s="56"/>
      <c r="C3" s="56"/>
      <c r="D3" s="56"/>
      <c r="E3" s="10"/>
      <c r="G3" s="57"/>
      <c r="H3" s="57"/>
      <c r="I3" s="57"/>
      <c r="J3" s="57"/>
    </row>
    <row r="4" spans="1:50" customFormat="1" ht="14.4" x14ac:dyDescent="0.3">
      <c r="A4" s="58"/>
      <c r="B4" s="58"/>
      <c r="C4" s="58"/>
      <c r="D4" s="58"/>
      <c r="E4" s="10"/>
      <c r="G4" s="57"/>
      <c r="H4" s="57"/>
      <c r="I4" s="57"/>
      <c r="J4" s="57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spans="1:50" customFormat="1" ht="11.25" customHeight="1" x14ac:dyDescent="0.3">
      <c r="A5" s="11"/>
      <c r="B5" s="12"/>
      <c r="C5" s="13"/>
      <c r="D5" s="14"/>
      <c r="E5" s="8"/>
      <c r="F5" s="8"/>
      <c r="G5" s="11"/>
      <c r="H5" s="11"/>
      <c r="I5" s="11"/>
      <c r="J5" s="14"/>
    </row>
    <row r="6" spans="1:50" customFormat="1" ht="11.25" customHeight="1" x14ac:dyDescent="0.3">
      <c r="A6" s="8" t="s">
        <v>3</v>
      </c>
      <c r="B6" s="15"/>
      <c r="C6" s="15"/>
      <c r="D6" s="15"/>
      <c r="E6" s="8"/>
      <c r="F6" s="8"/>
      <c r="G6" s="8"/>
      <c r="H6" s="15"/>
      <c r="I6" s="15"/>
      <c r="J6" s="16" t="s">
        <v>3</v>
      </c>
    </row>
    <row r="7" spans="1:50" customFormat="1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50" customFormat="1" ht="14.4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Z8" s="17" t="s">
        <v>2</v>
      </c>
      <c r="AA8" s="17" t="s">
        <v>2</v>
      </c>
      <c r="AB8" s="17" t="s">
        <v>2</v>
      </c>
      <c r="AC8" s="17" t="s">
        <v>2</v>
      </c>
      <c r="AD8" s="17" t="s">
        <v>2</v>
      </c>
      <c r="AE8" s="17" t="s">
        <v>2</v>
      </c>
      <c r="AF8" s="17" t="s">
        <v>2</v>
      </c>
      <c r="AG8" s="17" t="s">
        <v>2</v>
      </c>
      <c r="AH8" s="17" t="s">
        <v>2</v>
      </c>
      <c r="AI8" s="17" t="s">
        <v>2</v>
      </c>
    </row>
    <row r="9" spans="1:50" customFormat="1" ht="14.4" x14ac:dyDescent="0.3">
      <c r="A9" s="60" t="s">
        <v>4</v>
      </c>
      <c r="B9" s="60"/>
      <c r="C9" s="60"/>
      <c r="D9" s="60"/>
      <c r="E9" s="60"/>
      <c r="F9" s="60"/>
      <c r="G9" s="60"/>
      <c r="H9" s="60"/>
      <c r="I9" s="60"/>
      <c r="J9" s="60"/>
    </row>
    <row r="10" spans="1:50" customFormat="1" ht="14.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50" customFormat="1" ht="28.5" customHeight="1" x14ac:dyDescent="0.3">
      <c r="A11" s="61" t="s">
        <v>5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50" customFormat="1" ht="21" customHeight="1" x14ac:dyDescent="0.3">
      <c r="A12" s="60" t="s">
        <v>6</v>
      </c>
      <c r="B12" s="60"/>
      <c r="C12" s="60"/>
      <c r="D12" s="60"/>
      <c r="E12" s="60"/>
      <c r="F12" s="60"/>
      <c r="G12" s="60"/>
      <c r="H12" s="60"/>
      <c r="I12" s="60"/>
      <c r="J12" s="60"/>
    </row>
    <row r="13" spans="1:50" customFormat="1" ht="40.200000000000003" x14ac:dyDescent="0.3">
      <c r="A13" s="59" t="s">
        <v>50</v>
      </c>
      <c r="B13" s="59"/>
      <c r="C13" s="59"/>
      <c r="D13" s="59"/>
      <c r="E13" s="59"/>
      <c r="F13" s="59"/>
      <c r="G13" s="59"/>
      <c r="H13" s="59"/>
      <c r="I13" s="59"/>
      <c r="J13" s="59"/>
      <c r="AJ13" s="17" t="s">
        <v>7</v>
      </c>
      <c r="AK13" s="17" t="s">
        <v>2</v>
      </c>
      <c r="AL13" s="17" t="s">
        <v>2</v>
      </c>
      <c r="AM13" s="17" t="s">
        <v>2</v>
      </c>
      <c r="AN13" s="17" t="s">
        <v>2</v>
      </c>
      <c r="AO13" s="17" t="s">
        <v>2</v>
      </c>
      <c r="AP13" s="17" t="s">
        <v>2</v>
      </c>
      <c r="AQ13" s="17" t="s">
        <v>2</v>
      </c>
      <c r="AR13" s="17" t="s">
        <v>2</v>
      </c>
      <c r="AS13" s="17" t="s">
        <v>2</v>
      </c>
    </row>
    <row r="14" spans="1:50" customFormat="1" ht="15.75" customHeight="1" x14ac:dyDescent="0.3">
      <c r="A14" s="60" t="s">
        <v>8</v>
      </c>
      <c r="B14" s="60"/>
      <c r="C14" s="60"/>
      <c r="D14" s="60"/>
      <c r="E14" s="60"/>
      <c r="F14" s="60"/>
      <c r="G14" s="60"/>
      <c r="H14" s="60"/>
      <c r="I14" s="60"/>
      <c r="J14" s="60"/>
    </row>
    <row r="15" spans="1:50" customFormat="1" ht="14.4" x14ac:dyDescent="0.3">
      <c r="A15" s="8"/>
      <c r="B15" s="19" t="s">
        <v>9</v>
      </c>
      <c r="C15" s="62"/>
      <c r="D15" s="62"/>
      <c r="E15" s="62"/>
      <c r="F15" s="62"/>
      <c r="G15" s="62"/>
      <c r="H15" s="20"/>
      <c r="I15" s="20"/>
      <c r="J15" s="20"/>
      <c r="AT15" s="21" t="s">
        <v>2</v>
      </c>
      <c r="AU15" s="21" t="s">
        <v>2</v>
      </c>
      <c r="AV15" s="21" t="s">
        <v>2</v>
      </c>
      <c r="AW15" s="21" t="s">
        <v>2</v>
      </c>
      <c r="AX15" s="21" t="s">
        <v>2</v>
      </c>
    </row>
    <row r="16" spans="1:50" customFormat="1" ht="12.75" customHeight="1" x14ac:dyDescent="0.3">
      <c r="B16" s="22" t="s">
        <v>10</v>
      </c>
      <c r="C16" s="22"/>
      <c r="D16" s="23"/>
      <c r="E16" s="24">
        <v>718.55899999999997</v>
      </c>
      <c r="F16" s="25" t="s">
        <v>11</v>
      </c>
      <c r="H16" s="22"/>
      <c r="I16" s="22"/>
      <c r="J16" s="22"/>
      <c r="K16" s="22"/>
      <c r="L16" s="22"/>
    </row>
    <row r="17" spans="1:60" customFormat="1" ht="12.75" customHeight="1" x14ac:dyDescent="0.3">
      <c r="B17" s="22" t="s">
        <v>12</v>
      </c>
      <c r="D17" s="23"/>
      <c r="E17" s="24">
        <v>604.6</v>
      </c>
      <c r="F17" s="25" t="s">
        <v>11</v>
      </c>
      <c r="H17" s="22"/>
      <c r="I17" s="22"/>
      <c r="J17" s="22"/>
      <c r="K17" s="22"/>
      <c r="L17" s="22"/>
    </row>
    <row r="18" spans="1:60" customFormat="1" ht="12.75" customHeight="1" x14ac:dyDescent="0.3">
      <c r="B18" s="22" t="s">
        <v>13</v>
      </c>
      <c r="C18" s="22"/>
      <c r="D18" s="23"/>
      <c r="E18" s="24">
        <v>283.85000000000002</v>
      </c>
      <c r="F18" s="25" t="s">
        <v>11</v>
      </c>
      <c r="H18" s="22"/>
      <c r="J18" s="22"/>
      <c r="K18" s="22"/>
      <c r="L18" s="22"/>
    </row>
    <row r="19" spans="1:60" customFormat="1" ht="12.75" customHeight="1" x14ac:dyDescent="0.3">
      <c r="B19" s="22" t="s">
        <v>14</v>
      </c>
      <c r="C19" s="22"/>
      <c r="D19" s="12"/>
      <c r="E19" s="24">
        <v>778.44</v>
      </c>
      <c r="F19" s="25" t="s">
        <v>15</v>
      </c>
      <c r="H19" s="22"/>
      <c r="J19" s="22"/>
      <c r="K19" s="22"/>
      <c r="L19" s="22"/>
    </row>
    <row r="20" spans="1:60" customFormat="1" ht="12.75" customHeight="1" x14ac:dyDescent="0.3">
      <c r="B20" s="22" t="s">
        <v>16</v>
      </c>
      <c r="C20" s="22"/>
      <c r="D20" s="12"/>
      <c r="E20" s="24"/>
      <c r="F20" s="25" t="s">
        <v>15</v>
      </c>
      <c r="H20" s="22"/>
      <c r="J20" s="22"/>
      <c r="K20" s="22"/>
      <c r="L20" s="22"/>
    </row>
    <row r="21" spans="1:60" customFormat="1" ht="14.4" x14ac:dyDescent="0.3">
      <c r="A21" s="8"/>
      <c r="B21" s="19" t="s">
        <v>17</v>
      </c>
      <c r="C21" s="19"/>
      <c r="D21" s="8"/>
      <c r="E21" s="63" t="s">
        <v>18</v>
      </c>
      <c r="F21" s="63"/>
      <c r="G21" s="63"/>
      <c r="H21" s="63"/>
      <c r="I21" s="63"/>
      <c r="J21" s="63"/>
      <c r="K21" s="22"/>
      <c r="L21" s="22"/>
      <c r="AY21" s="26" t="s">
        <v>18</v>
      </c>
      <c r="AZ21" s="26" t="s">
        <v>2</v>
      </c>
      <c r="BA21" s="26" t="s">
        <v>2</v>
      </c>
      <c r="BB21" s="26" t="s">
        <v>2</v>
      </c>
      <c r="BC21" s="26" t="s">
        <v>2</v>
      </c>
      <c r="BD21" s="26" t="s">
        <v>2</v>
      </c>
    </row>
    <row r="22" spans="1:60" customFormat="1" ht="12.75" customHeight="1" x14ac:dyDescent="0.3">
      <c r="A22" s="19"/>
      <c r="B22" s="19"/>
      <c r="C22" s="8"/>
      <c r="D22" s="19"/>
      <c r="E22" s="27"/>
      <c r="F22" s="28"/>
      <c r="G22" s="29"/>
      <c r="H22" s="19"/>
      <c r="I22" s="19"/>
      <c r="J22" s="19"/>
      <c r="K22" s="22"/>
      <c r="L22" s="30"/>
    </row>
    <row r="23" spans="1:60" customFormat="1" ht="26.25" customHeight="1" x14ac:dyDescent="0.3">
      <c r="A23" s="64" t="s">
        <v>19</v>
      </c>
      <c r="B23" s="64" t="s">
        <v>20</v>
      </c>
      <c r="C23" s="64" t="s">
        <v>21</v>
      </c>
      <c r="D23" s="64"/>
      <c r="E23" s="64"/>
      <c r="F23" s="64" t="s">
        <v>22</v>
      </c>
      <c r="G23" s="65" t="s">
        <v>23</v>
      </c>
      <c r="H23" s="66"/>
      <c r="I23" s="64" t="s">
        <v>24</v>
      </c>
      <c r="J23" s="64"/>
    </row>
    <row r="24" spans="1:60" customFormat="1" ht="18.75" customHeight="1" x14ac:dyDescent="0.3">
      <c r="A24" s="64"/>
      <c r="B24" s="64"/>
      <c r="C24" s="64"/>
      <c r="D24" s="64"/>
      <c r="E24" s="64"/>
      <c r="F24" s="64"/>
      <c r="G24" s="67" t="s">
        <v>25</v>
      </c>
      <c r="H24" s="67" t="s">
        <v>26</v>
      </c>
      <c r="I24" s="64"/>
      <c r="J24" s="64"/>
    </row>
    <row r="25" spans="1:60" customFormat="1" ht="34.5" customHeight="1" x14ac:dyDescent="0.3">
      <c r="A25" s="64"/>
      <c r="B25" s="64"/>
      <c r="C25" s="64"/>
      <c r="D25" s="64"/>
      <c r="E25" s="64"/>
      <c r="F25" s="64"/>
      <c r="G25" s="68"/>
      <c r="H25" s="68"/>
      <c r="I25" s="31" t="s">
        <v>27</v>
      </c>
      <c r="J25" s="31" t="s">
        <v>28</v>
      </c>
    </row>
    <row r="26" spans="1:60" customFormat="1" ht="14.4" x14ac:dyDescent="0.3">
      <c r="A26" s="32">
        <v>1</v>
      </c>
      <c r="B26" s="32">
        <v>2</v>
      </c>
      <c r="C26" s="69">
        <v>3</v>
      </c>
      <c r="D26" s="69"/>
      <c r="E26" s="69"/>
      <c r="F26" s="32">
        <v>4</v>
      </c>
      <c r="G26" s="32">
        <v>5</v>
      </c>
      <c r="H26" s="32">
        <v>6</v>
      </c>
      <c r="I26" s="32">
        <v>7</v>
      </c>
      <c r="J26" s="32">
        <v>8</v>
      </c>
    </row>
    <row r="27" spans="1:60" customFormat="1" ht="14.4" x14ac:dyDescent="0.3">
      <c r="A27" s="70" t="s">
        <v>29</v>
      </c>
      <c r="B27" s="71"/>
      <c r="C27" s="71"/>
      <c r="D27" s="71"/>
      <c r="E27" s="71"/>
      <c r="F27" s="71"/>
      <c r="G27" s="71"/>
      <c r="H27" s="71"/>
      <c r="I27" s="71"/>
      <c r="J27" s="72"/>
      <c r="BE27" s="33" t="s">
        <v>29</v>
      </c>
    </row>
    <row r="28" spans="1:60" customFormat="1" ht="20.399999999999999" x14ac:dyDescent="0.3">
      <c r="A28" s="34" t="s">
        <v>30</v>
      </c>
      <c r="B28" s="35" t="s">
        <v>31</v>
      </c>
      <c r="C28" s="73" t="s">
        <v>32</v>
      </c>
      <c r="D28" s="74"/>
      <c r="E28" s="75"/>
      <c r="F28" s="34" t="s">
        <v>33</v>
      </c>
      <c r="G28" s="36"/>
      <c r="H28" s="37">
        <v>13</v>
      </c>
      <c r="I28" s="38">
        <v>21834.6</v>
      </c>
      <c r="J28" s="38">
        <v>283849.8</v>
      </c>
      <c r="BE28" s="33"/>
      <c r="BF28" s="2" t="s">
        <v>32</v>
      </c>
    </row>
    <row r="29" spans="1:60" customFormat="1" ht="14.4" x14ac:dyDescent="0.3">
      <c r="A29" s="39"/>
      <c r="B29" s="40"/>
      <c r="C29" s="74" t="s">
        <v>34</v>
      </c>
      <c r="D29" s="74"/>
      <c r="E29" s="74"/>
      <c r="F29" s="74"/>
      <c r="G29" s="74"/>
      <c r="H29" s="74"/>
      <c r="I29" s="74"/>
      <c r="J29" s="75"/>
      <c r="BE29" s="33"/>
      <c r="BG29" s="2" t="s">
        <v>34</v>
      </c>
    </row>
    <row r="30" spans="1:60" customFormat="1" ht="14.4" x14ac:dyDescent="0.3">
      <c r="A30" s="41"/>
      <c r="B30" s="42"/>
      <c r="C30" s="42"/>
      <c r="D30" s="42"/>
      <c r="E30" s="43" t="s">
        <v>35</v>
      </c>
      <c r="F30" s="44"/>
      <c r="G30" s="45"/>
      <c r="H30" s="28"/>
      <c r="I30" s="46"/>
      <c r="J30" s="47">
        <v>198694.86</v>
      </c>
      <c r="BE30" s="33"/>
    </row>
    <row r="31" spans="1:60" customFormat="1" ht="14.4" x14ac:dyDescent="0.3">
      <c r="A31" s="41"/>
      <c r="B31" s="42"/>
      <c r="C31" s="42"/>
      <c r="D31" s="42"/>
      <c r="E31" s="43" t="s">
        <v>36</v>
      </c>
      <c r="F31" s="44"/>
      <c r="G31" s="45"/>
      <c r="H31" s="28"/>
      <c r="I31" s="46"/>
      <c r="J31" s="47">
        <v>122055.41</v>
      </c>
      <c r="BE31" s="33"/>
    </row>
    <row r="32" spans="1:60" customFormat="1" ht="14.4" x14ac:dyDescent="0.3">
      <c r="A32" s="76" t="s">
        <v>37</v>
      </c>
      <c r="B32" s="77"/>
      <c r="C32" s="77"/>
      <c r="D32" s="77"/>
      <c r="E32" s="77"/>
      <c r="F32" s="77"/>
      <c r="G32" s="77"/>
      <c r="H32" s="77"/>
      <c r="I32" s="78"/>
      <c r="J32" s="48">
        <v>283849.8</v>
      </c>
      <c r="BH32" s="49" t="s">
        <v>37</v>
      </c>
    </row>
    <row r="33" spans="1:62" customFormat="1" ht="14.4" x14ac:dyDescent="0.3">
      <c r="A33" s="76" t="s">
        <v>38</v>
      </c>
      <c r="B33" s="77"/>
      <c r="C33" s="77"/>
      <c r="D33" s="77"/>
      <c r="E33" s="77"/>
      <c r="F33" s="77"/>
      <c r="G33" s="77"/>
      <c r="H33" s="77"/>
      <c r="I33" s="78"/>
      <c r="J33" s="48">
        <v>198694.86</v>
      </c>
      <c r="BH33" s="49" t="s">
        <v>38</v>
      </c>
    </row>
    <row r="34" spans="1:62" customFormat="1" ht="14.4" x14ac:dyDescent="0.3">
      <c r="A34" s="76" t="s">
        <v>39</v>
      </c>
      <c r="B34" s="77"/>
      <c r="C34" s="77"/>
      <c r="D34" s="77"/>
      <c r="E34" s="77"/>
      <c r="F34" s="77"/>
      <c r="G34" s="77"/>
      <c r="H34" s="77"/>
      <c r="I34" s="78"/>
      <c r="J34" s="48">
        <v>122055.41</v>
      </c>
      <c r="BH34" s="49" t="s">
        <v>39</v>
      </c>
    </row>
    <row r="35" spans="1:62" customFormat="1" ht="14.4" x14ac:dyDescent="0.3">
      <c r="A35" s="76" t="s">
        <v>40</v>
      </c>
      <c r="B35" s="77"/>
      <c r="C35" s="77"/>
      <c r="D35" s="77"/>
      <c r="E35" s="77"/>
      <c r="F35" s="77"/>
      <c r="G35" s="77"/>
      <c r="H35" s="77"/>
      <c r="I35" s="78"/>
      <c r="J35" s="50"/>
      <c r="BH35" s="49" t="s">
        <v>40</v>
      </c>
    </row>
    <row r="36" spans="1:62" customFormat="1" ht="14.4" x14ac:dyDescent="0.3">
      <c r="A36" s="79" t="s">
        <v>41</v>
      </c>
      <c r="B36" s="77"/>
      <c r="C36" s="77"/>
      <c r="D36" s="77"/>
      <c r="E36" s="77"/>
      <c r="F36" s="77"/>
      <c r="G36" s="77"/>
      <c r="H36" s="77"/>
      <c r="I36" s="78"/>
      <c r="J36" s="51">
        <v>604600.06999999995</v>
      </c>
      <c r="BH36" s="49"/>
      <c r="BI36" s="3" t="s">
        <v>41</v>
      </c>
    </row>
    <row r="37" spans="1:62" customFormat="1" ht="14.4" x14ac:dyDescent="0.3">
      <c r="A37" s="79" t="s">
        <v>42</v>
      </c>
      <c r="B37" s="77"/>
      <c r="C37" s="77"/>
      <c r="D37" s="77"/>
      <c r="E37" s="77"/>
      <c r="F37" s="77"/>
      <c r="G37" s="77"/>
      <c r="H37" s="77"/>
      <c r="I37" s="78"/>
      <c r="J37" s="52"/>
      <c r="BH37" s="49"/>
      <c r="BI37" s="3" t="s">
        <v>42</v>
      </c>
    </row>
    <row r="38" spans="1:62" customFormat="1" ht="14.4" x14ac:dyDescent="0.3">
      <c r="A38" s="79" t="s">
        <v>43</v>
      </c>
      <c r="B38" s="77"/>
      <c r="C38" s="77"/>
      <c r="D38" s="77"/>
      <c r="E38" s="77"/>
      <c r="F38" s="77"/>
      <c r="G38" s="77"/>
      <c r="H38" s="77"/>
      <c r="I38" s="78"/>
      <c r="J38" s="51">
        <v>283849.8</v>
      </c>
      <c r="BH38" s="49"/>
      <c r="BI38" s="3" t="s">
        <v>43</v>
      </c>
    </row>
    <row r="39" spans="1:62" customFormat="1" ht="14.4" x14ac:dyDescent="0.3">
      <c r="A39" s="79" t="s">
        <v>44</v>
      </c>
      <c r="B39" s="77"/>
      <c r="C39" s="77"/>
      <c r="D39" s="77"/>
      <c r="E39" s="77"/>
      <c r="F39" s="77"/>
      <c r="G39" s="77"/>
      <c r="H39" s="77"/>
      <c r="I39" s="78"/>
      <c r="J39" s="51">
        <v>198694.86</v>
      </c>
      <c r="BH39" s="49"/>
      <c r="BI39" s="3" t="s">
        <v>44</v>
      </c>
    </row>
    <row r="40" spans="1:62" customFormat="1" ht="14.4" x14ac:dyDescent="0.3">
      <c r="A40" s="79" t="s">
        <v>45</v>
      </c>
      <c r="B40" s="77"/>
      <c r="C40" s="77"/>
      <c r="D40" s="77"/>
      <c r="E40" s="77"/>
      <c r="F40" s="77"/>
      <c r="G40" s="77"/>
      <c r="H40" s="77"/>
      <c r="I40" s="78"/>
      <c r="J40" s="51">
        <v>122055.41</v>
      </c>
      <c r="BH40" s="49"/>
      <c r="BI40" s="3" t="s">
        <v>45</v>
      </c>
    </row>
    <row r="41" spans="1:62" customFormat="1" ht="14.4" x14ac:dyDescent="0.3">
      <c r="A41" s="79" t="s">
        <v>46</v>
      </c>
      <c r="B41" s="77"/>
      <c r="C41" s="77"/>
      <c r="D41" s="77"/>
      <c r="E41" s="77"/>
      <c r="F41" s="77"/>
      <c r="G41" s="77"/>
      <c r="H41" s="77"/>
      <c r="I41" s="78"/>
      <c r="J41" s="51">
        <v>588982.81999999995</v>
      </c>
      <c r="BH41" s="49"/>
      <c r="BI41" s="3" t="s">
        <v>46</v>
      </c>
    </row>
    <row r="42" spans="1:62" customFormat="1" ht="14.4" x14ac:dyDescent="0.3">
      <c r="A42" s="79" t="s">
        <v>47</v>
      </c>
      <c r="B42" s="77"/>
      <c r="C42" s="77"/>
      <c r="D42" s="77"/>
      <c r="E42" s="77"/>
      <c r="F42" s="77"/>
      <c r="G42" s="77"/>
      <c r="H42" s="77"/>
      <c r="I42" s="78"/>
      <c r="J42" s="51">
        <v>129576.22</v>
      </c>
      <c r="BH42" s="49"/>
      <c r="BI42" s="3" t="s">
        <v>47</v>
      </c>
    </row>
    <row r="43" spans="1:62" customFormat="1" ht="14.4" x14ac:dyDescent="0.3">
      <c r="A43" s="76" t="s">
        <v>48</v>
      </c>
      <c r="B43" s="77"/>
      <c r="C43" s="77"/>
      <c r="D43" s="77"/>
      <c r="E43" s="77"/>
      <c r="F43" s="77"/>
      <c r="G43" s="77"/>
      <c r="H43" s="77"/>
      <c r="I43" s="78"/>
      <c r="J43" s="48">
        <v>718559.04</v>
      </c>
      <c r="BH43" s="49"/>
      <c r="BJ43" s="49" t="s">
        <v>48</v>
      </c>
    </row>
    <row r="44" spans="1:62" customFormat="1" ht="12" customHeight="1" x14ac:dyDescent="0.3">
      <c r="A44" s="76" t="s">
        <v>49</v>
      </c>
      <c r="B44" s="77"/>
      <c r="C44" s="77"/>
      <c r="D44" s="77"/>
      <c r="E44" s="77"/>
      <c r="F44" s="77"/>
      <c r="G44" s="77"/>
      <c r="H44" s="77"/>
      <c r="I44" s="78"/>
      <c r="J44" s="48">
        <f>J43/12</f>
        <v>59879.920000000006</v>
      </c>
      <c r="K44" s="53"/>
      <c r="L44" s="54"/>
    </row>
    <row r="45" spans="1:62" customFormat="1" ht="53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62" customFormat="1" ht="14.4" x14ac:dyDescent="0.3">
      <c r="A46" s="8"/>
      <c r="B46" s="8"/>
      <c r="C46" s="8"/>
      <c r="D46" s="8"/>
      <c r="E46" s="8"/>
      <c r="F46" s="8"/>
      <c r="G46" s="8"/>
      <c r="H46" s="19"/>
      <c r="I46" s="80"/>
      <c r="J46" s="80"/>
      <c r="K46" s="80"/>
    </row>
  </sheetData>
  <mergeCells count="40">
    <mergeCell ref="A43:I43"/>
    <mergeCell ref="I46:K46"/>
    <mergeCell ref="A44:I44"/>
    <mergeCell ref="A38:I38"/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C26:E26"/>
    <mergeCell ref="A27:J27"/>
    <mergeCell ref="C28:E28"/>
    <mergeCell ref="C29:J29"/>
    <mergeCell ref="A32:I32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A8:J8"/>
    <mergeCell ref="A9:J9"/>
    <mergeCell ref="A11:J11"/>
    <mergeCell ref="A12:J12"/>
    <mergeCell ref="A13:J13"/>
    <mergeCell ref="A2:C2"/>
    <mergeCell ref="H2:J2"/>
    <mergeCell ref="A3:D3"/>
    <mergeCell ref="G3:J3"/>
    <mergeCell ref="A4:D4"/>
    <mergeCell ref="G4:J4"/>
  </mergeCells>
  <printOptions horizontalCentered="1"/>
  <pageMargins left="0.69999998807907104" right="0.69999998807907104" top="0.75" bottom="0.75" header="0.30000001192092901" footer="0.30000001192092901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ТО лифты_13 лифтов для договора</vt:lpstr>
      <vt:lpstr>'ТО лифты_13 лифтов для договора'!Заголовки_для_печати</vt:lpstr>
      <vt:lpstr>'ТО лифты_13 лифтов для договора'!Область_печати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2023-03-15T13:14:00Z</cp:lastPrinted>
  <dcterms:created xsi:type="dcterms:W3CDTF">2020-09-30T08:50:27Z</dcterms:created>
  <dcterms:modified xsi:type="dcterms:W3CDTF">2026-03-30T12:31:32Z</dcterms:modified>
</cp:coreProperties>
</file>