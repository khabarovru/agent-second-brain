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rovyh.os\Desktop\Петровых\Списание\ИИ\Октябрь\"/>
    </mc:Choice>
  </mc:AlternateContent>
  <bookViews>
    <workbookView xWindow="0" yWindow="0" windowWidth="23016" windowHeight="8736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АКТУ'!$A$1:$H$55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46" i="9" l="1"/>
  <c r="H54" i="9" l="1"/>
  <c r="H52" i="9"/>
  <c r="H50" i="9"/>
  <c r="H48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<sst xmlns="http://schemas.openxmlformats.org/spreadsheetml/2006/main" count="720" uniqueCount="408">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</sst>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9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Border="1" applyAlignment="1" applyProtection="1">
      <alignment horizontal="center" vertical="center" wrapText="1"/>
      <protection hidden="1"/>
    </xf>
    <xf numFmtId="0" fontId="20" fillId="0" borderId="0" xfId="0" applyNumberFormat="1" applyFont="1" applyFill="1" applyBorder="1" applyAlignment="1" applyProtection="1">
      <alignment horizontal="left" vertical="center" wrapText="1"/>
      <protection hidden="1"/>
    </xf>
    <xf numFmtId="0" fontId="16" fillId="0" borderId="0" xfId="0" applyNumberFormat="1" applyFont="1" applyFill="1" applyBorder="1" applyAlignment="1" applyProtection="1">
      <alignment horizontal="center" vertical="center" wrapText="1"/>
      <protection hidden="1"/>
    </xf>
    <xf numFmtId="1" fontId="20" fillId="0" borderId="0" xfId="0" applyNumberFormat="1" applyFont="1" applyBorder="1" applyAlignment="1" applyProtection="1">
      <alignment horizontal="center" vertical="top" wrapText="1"/>
      <protection hidden="1"/>
    </xf>
    <xf numFmtId="0" fontId="20" fillId="0" borderId="0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1" fontId="20" fillId="0" borderId="0" xfId="0" applyNumberFormat="1" applyFont="1" applyBorder="1" applyAlignment="1" applyProtection="1">
      <alignment horizontal="center" vertical="center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hidden="1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zoomScale="85" zoomScaleNormal="85" zoomScaleSheetLayoutView="115" workbookViewId="0">
      <selection activeCell="C46" sqref="C46"/>
    </sheetView>
  </sheetViews>
  <sheetFormatPr defaultColWidth="8.88671875" defaultRowHeight="18" x14ac:dyDescent="0.35"/>
  <cols>
    <col min="1" max="1" width="16.6640625" style="79" customWidth="1"/>
    <col min="2" max="2" width="49.109375" style="79" bestFit="1" customWidth="1"/>
    <col min="3" max="3" width="4" style="79" customWidth="1"/>
    <col min="4" max="4" width="5.88671875" style="79" customWidth="1"/>
    <col min="5" max="5" width="8.44140625" style="79" customWidth="1"/>
    <col min="6" max="6" width="37.5546875" style="79" customWidth="1"/>
    <col min="7" max="7" width="30.44140625" style="79" customWidth="1"/>
    <col min="8" max="8" width="28.33203125" style="79" customWidth="1"/>
    <col min="9" max="16384" width="8.88671875" style="79"/>
  </cols>
  <sheetData>
    <row r="1" spans="1:8" s="62" customFormat="1" ht="62.4" customHeight="1" thickBot="1" x14ac:dyDescent="0.45">
      <c r="A1" s="131" t="s">
        <v>364</v>
      </c>
      <c r="B1" s="131"/>
      <c r="C1" s="131"/>
      <c r="D1" s="131"/>
      <c r="E1" s="131"/>
      <c r="F1" s="131"/>
      <c r="G1" s="131"/>
      <c r="H1" s="131"/>
    </row>
    <row r="2" spans="1:8" s="62" customFormat="1" ht="13.95" customHeight="1" x14ac:dyDescent="0.4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4">
      <c r="A3" s="61"/>
      <c r="B3" s="65"/>
      <c r="C3" s="66"/>
      <c r="H3" s="67" t="s">
        <v>0</v>
      </c>
    </row>
    <row r="4" spans="1:8" s="62" customFormat="1" ht="21" x14ac:dyDescent="0.4">
      <c r="A4" s="61"/>
      <c r="B4" s="68"/>
      <c r="C4" s="66"/>
      <c r="H4" s="67" t="s">
        <v>1</v>
      </c>
    </row>
    <row r="5" spans="1:8" s="62" customFormat="1" ht="45" customHeight="1" x14ac:dyDescent="0.4">
      <c r="A5" s="61"/>
      <c r="B5" s="68"/>
      <c r="C5" s="66"/>
      <c r="H5" s="113" t="s">
        <v>2</v>
      </c>
    </row>
    <row r="6" spans="1:8" s="62" customFormat="1" ht="21" x14ac:dyDescent="0.4">
      <c r="A6" s="61"/>
      <c r="B6" s="63"/>
      <c r="C6" s="63"/>
      <c r="D6" s="63"/>
      <c r="E6" s="63"/>
      <c r="F6" s="63"/>
      <c r="G6" s="64"/>
      <c r="H6" s="63"/>
    </row>
    <row r="7" spans="1:8" s="62" customFormat="1" ht="22.8" x14ac:dyDescent="0.4">
      <c r="A7" s="61"/>
      <c r="B7" s="134" t="s">
        <v>375</v>
      </c>
      <c r="C7" s="134"/>
      <c r="D7" s="134"/>
      <c r="E7" s="134"/>
      <c r="F7" s="134"/>
      <c r="G7" s="134"/>
      <c r="H7" s="134"/>
    </row>
    <row r="8" spans="1:8" s="62" customFormat="1" ht="21" x14ac:dyDescent="0.4">
      <c r="A8" s="61"/>
      <c r="B8" s="135">
        <f ca="1">NOW()+0</f>
        <v>45967.70668009259</v>
      </c>
      <c r="C8" s="135"/>
      <c r="D8" s="135"/>
      <c r="E8" s="135"/>
      <c r="F8" s="135"/>
      <c r="G8" s="135"/>
      <c r="H8" s="135"/>
    </row>
    <row r="9" spans="1:8" s="62" customFormat="1" ht="21" x14ac:dyDescent="0.4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4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8" customHeight="1" x14ac:dyDescent="0.4">
      <c r="A11" s="127" t="s">
        <v>3</v>
      </c>
      <c r="B11" s="71"/>
      <c r="C11" s="136">
        <f>IF(H11&lt;&gt;0,(VLOOKUP(H11,Сотрудники!D:E,2,0)),0)</f>
        <v>0</v>
      </c>
      <c r="D11" s="136"/>
      <c r="E11" s="136"/>
      <c r="F11" s="136"/>
      <c r="G11" s="136"/>
      <c r="H11" s="72"/>
    </row>
    <row r="12" spans="1:8" s="62" customFormat="1" ht="21" x14ac:dyDescent="0.4">
      <c r="A12" s="73"/>
      <c r="B12" s="73"/>
      <c r="C12" s="132" t="s">
        <v>4</v>
      </c>
      <c r="D12" s="132"/>
      <c r="E12" s="132"/>
      <c r="F12" s="132"/>
      <c r="G12" s="137" t="s">
        <v>351</v>
      </c>
      <c r="H12" s="137"/>
    </row>
    <row r="13" spans="1:8" s="62" customFormat="1" ht="21" x14ac:dyDescent="0.4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8" customHeight="1" x14ac:dyDescent="0.4">
      <c r="A14" s="127" t="s">
        <v>6</v>
      </c>
      <c r="B14" s="71"/>
      <c r="C14" s="136">
        <f>IF(H14&lt;&gt;0,(VLOOKUP(H14,Сотрудники!D:E,2,0)),0)</f>
        <v>0</v>
      </c>
      <c r="D14" s="136"/>
      <c r="E14" s="136"/>
      <c r="F14" s="136"/>
      <c r="G14" s="136"/>
      <c r="H14" s="72"/>
    </row>
    <row r="15" spans="1:8" s="62" customFormat="1" ht="21" x14ac:dyDescent="0.4">
      <c r="A15" s="61"/>
      <c r="B15" s="77"/>
      <c r="C15" s="132" t="s">
        <v>4</v>
      </c>
      <c r="D15" s="132"/>
      <c r="E15" s="132"/>
      <c r="F15" s="132"/>
      <c r="G15" s="133" t="s">
        <v>351</v>
      </c>
      <c r="H15" s="133"/>
    </row>
    <row r="16" spans="1:8" s="62" customFormat="1" ht="68.400000000000006" customHeight="1" x14ac:dyDescent="0.4">
      <c r="A16" s="127" t="s">
        <v>8</v>
      </c>
      <c r="B16" s="71"/>
      <c r="C16" s="136">
        <f>IF(H16&lt;&gt;0,(VLOOKUP(H16,Сотрудники!D:E,2,0)),0)</f>
        <v>0</v>
      </c>
      <c r="D16" s="136"/>
      <c r="E16" s="136"/>
      <c r="F16" s="136"/>
      <c r="G16" s="136"/>
      <c r="H16" s="72"/>
    </row>
    <row r="17" spans="1:8" s="62" customFormat="1" ht="40.200000000000003" customHeight="1" x14ac:dyDescent="0.4">
      <c r="A17" s="61"/>
      <c r="B17" s="77"/>
      <c r="C17" s="132" t="s">
        <v>4</v>
      </c>
      <c r="D17" s="132"/>
      <c r="E17" s="132"/>
      <c r="F17" s="132"/>
      <c r="G17" s="133" t="s">
        <v>351</v>
      </c>
      <c r="H17" s="133"/>
    </row>
    <row r="18" spans="1:8" s="62" customFormat="1" ht="69.599999999999994" customHeight="1" x14ac:dyDescent="0.4">
      <c r="A18" s="61"/>
      <c r="B18" s="78"/>
      <c r="C18" s="136">
        <f>IF(H18&lt;&gt;0,(VLOOKUP(H18,Сотрудники!D:E,2,0)),0)</f>
        <v>0</v>
      </c>
      <c r="D18" s="136"/>
      <c r="E18" s="136"/>
      <c r="F18" s="136"/>
      <c r="G18" s="136"/>
      <c r="H18" s="72"/>
    </row>
    <row r="19" spans="1:8" s="62" customFormat="1" ht="40.200000000000003" customHeight="1" x14ac:dyDescent="0.4">
      <c r="A19" s="61"/>
      <c r="B19" s="77"/>
      <c r="C19" s="132" t="s">
        <v>4</v>
      </c>
      <c r="D19" s="132"/>
      <c r="E19" s="132"/>
      <c r="F19" s="132"/>
      <c r="G19" s="133" t="s">
        <v>351</v>
      </c>
      <c r="H19" s="133"/>
    </row>
    <row r="20" spans="1:8" s="62" customFormat="1" ht="69.599999999999994" customHeight="1" x14ac:dyDescent="0.4">
      <c r="B20" s="77"/>
      <c r="C20" s="136">
        <f>IF(H20&lt;&gt;0,(VLOOKUP(H20,Сотрудники!D:E,2,0)),0)</f>
        <v>0</v>
      </c>
      <c r="D20" s="136"/>
      <c r="E20" s="136"/>
      <c r="F20" s="136"/>
      <c r="G20" s="136"/>
      <c r="H20" s="72"/>
    </row>
    <row r="21" spans="1:8" s="62" customFormat="1" ht="21" x14ac:dyDescent="0.4">
      <c r="B21" s="77"/>
      <c r="C21" s="132" t="s">
        <v>4</v>
      </c>
      <c r="D21" s="132"/>
      <c r="E21" s="132"/>
      <c r="F21" s="132"/>
      <c r="G21" s="133" t="s">
        <v>351</v>
      </c>
      <c r="H21" s="133"/>
    </row>
    <row r="22" spans="1:8" x14ac:dyDescent="0.35">
      <c r="B22" s="80"/>
      <c r="C22" s="81"/>
      <c r="D22" s="82"/>
      <c r="E22" s="82"/>
      <c r="F22" s="82"/>
      <c r="G22" s="83"/>
      <c r="H22" s="84"/>
    </row>
    <row r="23" spans="1:8" ht="20.399999999999999" x14ac:dyDescent="0.35">
      <c r="A23" s="111" t="s">
        <v>361</v>
      </c>
      <c r="B23" s="85"/>
      <c r="C23" s="86"/>
      <c r="D23" s="87"/>
      <c r="E23" s="87"/>
      <c r="F23" s="87"/>
      <c r="G23" s="88"/>
      <c r="H23" s="87"/>
    </row>
    <row r="24" spans="1:8" ht="20.399999999999999" x14ac:dyDescent="0.35">
      <c r="A24" s="111" t="s">
        <v>362</v>
      </c>
      <c r="B24" s="44">
        <f>IF(B23&lt;&gt;0,(VLOOKUP(B23,'Объекты '!A:B,2,0)),0)</f>
        <v>0</v>
      </c>
      <c r="C24" s="86"/>
      <c r="D24" s="87"/>
      <c r="E24" s="87"/>
      <c r="F24" s="87"/>
      <c r="G24" s="88"/>
      <c r="H24" s="87"/>
    </row>
    <row r="25" spans="1:8" ht="20.399999999999999" x14ac:dyDescent="0.35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5">
      <c r="A26" s="112" t="s">
        <v>374</v>
      </c>
      <c r="B26" s="122">
        <f>IF(H11&lt;&gt;0,(VLOOKUP(H11,Сотрудники!D:F,3,0)),0)</f>
        <v>0</v>
      </c>
      <c r="C26" s="90"/>
      <c r="D26" s="90"/>
      <c r="E26" s="90"/>
      <c r="F26" s="90"/>
      <c r="G26" s="90"/>
      <c r="H26" s="90"/>
    </row>
    <row r="27" spans="1:8" x14ac:dyDescent="0.35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" customHeight="1" x14ac:dyDescent="0.4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21" x14ac:dyDescent="0.3">
      <c r="A29" s="102">
        <v>1</v>
      </c>
      <c r="B29" s="124"/>
      <c r="C29" s="103"/>
      <c r="D29" s="125"/>
      <c r="E29" s="125"/>
      <c r="F29" s="123"/>
      <c r="G29" s="124"/>
      <c r="H29" s="116"/>
    </row>
    <row r="30" spans="1:8" s="101" customFormat="1" ht="21" x14ac:dyDescent="0.3">
      <c r="A30" s="102">
        <v>2</v>
      </c>
      <c r="B30" s="124"/>
      <c r="C30" s="103"/>
      <c r="D30" s="125"/>
      <c r="E30" s="125"/>
      <c r="F30" s="123"/>
      <c r="G30" s="124"/>
      <c r="H30" s="116"/>
    </row>
    <row r="31" spans="1:8" s="101" customFormat="1" ht="21" x14ac:dyDescent="0.3">
      <c r="A31" s="102">
        <v>3</v>
      </c>
      <c r="B31" s="124"/>
      <c r="C31" s="103"/>
      <c r="D31" s="125"/>
      <c r="E31" s="125"/>
      <c r="F31" s="123"/>
      <c r="G31" s="124"/>
      <c r="H31" s="116"/>
    </row>
    <row r="32" spans="1:8" s="101" customFormat="1" ht="21" x14ac:dyDescent="0.3">
      <c r="A32" s="102">
        <v>4</v>
      </c>
      <c r="B32" s="124"/>
      <c r="C32" s="103"/>
      <c r="D32" s="125"/>
      <c r="E32" s="125"/>
      <c r="F32" s="123"/>
      <c r="G32" s="124"/>
      <c r="H32" s="116"/>
    </row>
    <row r="33" spans="1:8" s="101" customFormat="1" ht="21" x14ac:dyDescent="0.3">
      <c r="A33" s="102">
        <v>5</v>
      </c>
      <c r="B33" s="124"/>
      <c r="C33" s="103"/>
      <c r="D33" s="125"/>
      <c r="E33" s="125"/>
      <c r="F33" s="123"/>
      <c r="G33" s="124"/>
      <c r="H33" s="116"/>
    </row>
    <row r="34" spans="1:8" s="101" customFormat="1" ht="21" x14ac:dyDescent="0.3">
      <c r="A34" s="102">
        <v>6</v>
      </c>
      <c r="B34" s="124"/>
      <c r="C34" s="103"/>
      <c r="D34" s="125"/>
      <c r="E34" s="125"/>
      <c r="F34" s="123"/>
      <c r="G34" s="124"/>
      <c r="H34" s="116"/>
    </row>
    <row r="35" spans="1:8" s="101" customFormat="1" ht="21" x14ac:dyDescent="0.3">
      <c r="A35" s="102">
        <v>7</v>
      </c>
      <c r="B35" s="124"/>
      <c r="C35" s="103"/>
      <c r="D35" s="125"/>
      <c r="E35" s="125"/>
      <c r="F35" s="123"/>
      <c r="G35" s="124"/>
      <c r="H35" s="116"/>
    </row>
    <row r="36" spans="1:8" s="101" customFormat="1" ht="21" x14ac:dyDescent="0.3">
      <c r="A36" s="102">
        <v>8</v>
      </c>
      <c r="B36" s="124"/>
      <c r="C36" s="103"/>
      <c r="D36" s="125"/>
      <c r="E36" s="125"/>
      <c r="F36" s="123"/>
      <c r="G36" s="124"/>
      <c r="H36" s="116"/>
    </row>
    <row r="37" spans="1:8" s="101" customFormat="1" ht="21" x14ac:dyDescent="0.3">
      <c r="A37" s="102">
        <v>9</v>
      </c>
      <c r="B37" s="124"/>
      <c r="C37" s="103"/>
      <c r="D37" s="125"/>
      <c r="E37" s="125"/>
      <c r="F37" s="123"/>
      <c r="G37" s="124"/>
      <c r="H37" s="116"/>
    </row>
    <row r="38" spans="1:8" s="101" customFormat="1" ht="21" x14ac:dyDescent="0.3">
      <c r="A38" s="102">
        <v>10</v>
      </c>
      <c r="B38" s="124"/>
      <c r="C38" s="103"/>
      <c r="D38" s="125"/>
      <c r="E38" s="125"/>
      <c r="F38" s="123"/>
      <c r="G38" s="124"/>
      <c r="H38" s="116"/>
    </row>
    <row r="39" spans="1:8" s="101" customFormat="1" ht="21" x14ac:dyDescent="0.3">
      <c r="A39" s="102">
        <v>11</v>
      </c>
      <c r="B39" s="124"/>
      <c r="C39" s="103"/>
      <c r="D39" s="125"/>
      <c r="E39" s="125"/>
      <c r="F39" s="123"/>
      <c r="G39" s="124"/>
      <c r="H39" s="116"/>
    </row>
    <row r="40" spans="1:8" s="101" customFormat="1" ht="21" x14ac:dyDescent="0.3">
      <c r="A40" s="102">
        <v>12</v>
      </c>
      <c r="B40" s="124"/>
      <c r="C40" s="103"/>
      <c r="D40" s="125"/>
      <c r="E40" s="125"/>
      <c r="F40" s="123"/>
      <c r="G40" s="124"/>
      <c r="H40" s="116"/>
    </row>
    <row r="41" spans="1:8" s="101" customFormat="1" ht="21" x14ac:dyDescent="0.3">
      <c r="A41" s="102">
        <v>13</v>
      </c>
      <c r="B41" s="124"/>
      <c r="C41" s="103"/>
      <c r="D41" s="125"/>
      <c r="E41" s="125"/>
      <c r="F41" s="123"/>
      <c r="G41" s="124"/>
      <c r="H41" s="116"/>
    </row>
    <row r="42" spans="1:8" s="101" customFormat="1" ht="21" x14ac:dyDescent="0.3">
      <c r="A42" s="117"/>
      <c r="B42" s="128"/>
      <c r="C42" s="119"/>
      <c r="D42" s="129"/>
      <c r="E42" s="129"/>
      <c r="F42" s="130"/>
      <c r="G42" s="128"/>
      <c r="H42" s="121"/>
    </row>
    <row r="43" spans="1:8" s="101" customFormat="1" ht="21" x14ac:dyDescent="0.3">
      <c r="A43" s="117"/>
      <c r="B43" s="118"/>
      <c r="C43" s="119"/>
      <c r="D43" s="119"/>
      <c r="E43" s="119"/>
      <c r="F43" s="120"/>
      <c r="G43" s="120"/>
      <c r="H43" s="121"/>
    </row>
    <row r="44" spans="1:8" s="62" customFormat="1" ht="21" x14ac:dyDescent="0.4">
      <c r="B44" s="63"/>
      <c r="C44" s="63"/>
      <c r="D44" s="63"/>
      <c r="E44" s="63"/>
      <c r="F44" s="63"/>
      <c r="G44" s="64"/>
      <c r="H44" s="63"/>
    </row>
    <row r="45" spans="1:8" s="62" customFormat="1" ht="21" x14ac:dyDescent="0.4">
      <c r="B45" s="104"/>
      <c r="C45" s="104"/>
      <c r="D45" s="104"/>
      <c r="E45" s="104"/>
      <c r="F45" s="104"/>
      <c r="G45" s="104"/>
      <c r="H45" s="104"/>
    </row>
    <row r="46" spans="1:8" s="62" customFormat="1" ht="25.8" customHeight="1" x14ac:dyDescent="0.4">
      <c r="B46" s="71" t="s">
        <v>6</v>
      </c>
      <c r="C46" s="105"/>
      <c r="D46" s="105"/>
      <c r="E46" s="105"/>
      <c r="F46" s="105"/>
      <c r="G46" s="106"/>
      <c r="H46" s="59">
        <f>H14</f>
        <v>0</v>
      </c>
    </row>
    <row r="47" spans="1:8" s="62" customFormat="1" ht="25.8" customHeight="1" x14ac:dyDescent="0.4">
      <c r="B47" s="107"/>
      <c r="C47" s="108"/>
      <c r="D47" s="108"/>
      <c r="E47" s="108"/>
      <c r="F47" s="109"/>
      <c r="G47" s="138" t="s">
        <v>349</v>
      </c>
      <c r="H47" s="138"/>
    </row>
    <row r="48" spans="1:8" s="62" customFormat="1" ht="25.8" customHeight="1" x14ac:dyDescent="0.4">
      <c r="B48" s="71" t="s">
        <v>8</v>
      </c>
      <c r="C48" s="105"/>
      <c r="D48" s="105"/>
      <c r="E48" s="105"/>
      <c r="F48" s="105"/>
      <c r="G48" s="106"/>
      <c r="H48" s="59">
        <f>H16</f>
        <v>0</v>
      </c>
    </row>
    <row r="49" spans="2:8" s="62" customFormat="1" ht="25.8" customHeight="1" x14ac:dyDescent="0.4">
      <c r="B49" s="77"/>
      <c r="C49" s="108"/>
      <c r="D49" s="108"/>
      <c r="E49" s="108"/>
      <c r="F49" s="109"/>
      <c r="G49" s="138" t="s">
        <v>349</v>
      </c>
      <c r="H49" s="138"/>
    </row>
    <row r="50" spans="2:8" s="62" customFormat="1" ht="25.8" customHeight="1" x14ac:dyDescent="0.4">
      <c r="B50" s="78"/>
      <c r="C50" s="105"/>
      <c r="D50" s="105"/>
      <c r="E50" s="105"/>
      <c r="F50" s="105"/>
      <c r="G50" s="106"/>
      <c r="H50" s="59">
        <f>H18</f>
        <v>0</v>
      </c>
    </row>
    <row r="51" spans="2:8" s="62" customFormat="1" ht="25.8" customHeight="1" x14ac:dyDescent="0.4">
      <c r="B51" s="77"/>
      <c r="C51" s="108"/>
      <c r="D51" s="108"/>
      <c r="E51" s="108"/>
      <c r="F51" s="109"/>
      <c r="G51" s="138" t="s">
        <v>349</v>
      </c>
      <c r="H51" s="138"/>
    </row>
    <row r="52" spans="2:8" s="62" customFormat="1" ht="25.8" customHeight="1" x14ac:dyDescent="0.4">
      <c r="B52" s="77"/>
      <c r="C52" s="105"/>
      <c r="D52" s="105"/>
      <c r="E52" s="105"/>
      <c r="F52" s="105"/>
      <c r="G52" s="106"/>
      <c r="H52" s="59">
        <f>H20</f>
        <v>0</v>
      </c>
    </row>
    <row r="53" spans="2:8" s="62" customFormat="1" ht="25.8" customHeight="1" x14ac:dyDescent="0.4">
      <c r="B53" s="77"/>
      <c r="C53" s="108"/>
      <c r="D53" s="108"/>
      <c r="E53" s="108"/>
      <c r="F53" s="109"/>
      <c r="G53" s="138" t="s">
        <v>349</v>
      </c>
      <c r="H53" s="138"/>
    </row>
    <row r="54" spans="2:8" s="62" customFormat="1" ht="25.8" customHeight="1" x14ac:dyDescent="0.4">
      <c r="B54" s="71" t="s">
        <v>3</v>
      </c>
      <c r="C54" s="105"/>
      <c r="D54" s="105"/>
      <c r="E54" s="105"/>
      <c r="F54" s="105"/>
      <c r="G54" s="106"/>
      <c r="H54" s="60">
        <f>H11</f>
        <v>0</v>
      </c>
    </row>
    <row r="55" spans="2:8" s="62" customFormat="1" ht="21" x14ac:dyDescent="0.4">
      <c r="B55" s="73"/>
      <c r="C55" s="108"/>
      <c r="D55" s="108"/>
      <c r="E55" s="108"/>
      <c r="F55" s="109"/>
      <c r="G55" s="138" t="s">
        <v>349</v>
      </c>
      <c r="H55" s="138"/>
    </row>
  </sheetData>
  <sheetProtection selectLockedCells="1" selectUnlockedCells="1"/>
  <dataConsolidate/>
  <mergeCells count="23">
    <mergeCell ref="G55:H55"/>
    <mergeCell ref="G47:H47"/>
    <mergeCell ref="G49:H49"/>
    <mergeCell ref="G51:H51"/>
    <mergeCell ref="G53:H53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7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</xm:sqref>
        </x14:dataValidation>
        <x14:dataValidation type="list" allowBlank="1" showInputMessage="1" showErrorMessage="1">
          <x14:formula1>
            <xm:f>Сотрудники!$D$2:$D$140</xm:f>
          </x14:formula1>
          <xm:sqref>H14</xm:sqref>
        </x14:dataValidation>
        <x14:dataValidation type="list" allowBlank="1" showInputMessage="1" showErrorMessage="1">
          <x14:formula1>
            <xm:f>Сотрудники!$D$2:$D$140</xm:f>
          </x14:formula1>
          <xm:sqref>H16</xm:sqref>
        </x14:dataValidation>
        <x14:dataValidation type="list" allowBlank="1" showInputMessage="1" showErrorMessage="1">
          <x14:formula1>
            <xm:f>Сотрудники!$D$2:$D$140</xm:f>
          </x14:formula1>
          <xm:sqref>H18</xm:sqref>
        </x14:dataValidation>
        <x14:dataValidation type="list" allowBlank="1" showInputMessage="1" showErrorMessage="1">
          <x14:formula1>
            <xm:f>Сотрудники!$D$2:$D$140</xm:f>
          </x14:formula1>
          <xm:sqref>H20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4.4" x14ac:dyDescent="0.3"/>
  <cols>
    <col min="1" max="1" width="59" customWidth="1"/>
    <col min="2" max="2" width="57" customWidth="1"/>
    <col min="3" max="3" width="35.109375" customWidth="1"/>
    <col min="4" max="4" width="84.33203125" style="1" customWidth="1"/>
    <col min="5" max="5" width="46.5546875" customWidth="1"/>
  </cols>
  <sheetData>
    <row r="1" spans="1:4" ht="17.399999999999999" x14ac:dyDescent="0.3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3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3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3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3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3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3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3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3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3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3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3">
      <c r="A13" s="28" t="s">
        <v>406</v>
      </c>
      <c r="B13" s="29" t="s">
        <v>267</v>
      </c>
      <c r="C13" s="5"/>
      <c r="D13" s="7"/>
    </row>
    <row r="14" spans="1:4" x14ac:dyDescent="0.3">
      <c r="A14" s="28" t="s">
        <v>407</v>
      </c>
      <c r="B14" s="29" t="s">
        <v>267</v>
      </c>
      <c r="C14" s="5"/>
      <c r="D14" s="7"/>
    </row>
    <row r="15" spans="1:4" x14ac:dyDescent="0.3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3">
      <c r="A16" s="25" t="s">
        <v>235</v>
      </c>
      <c r="B16" s="26" t="s">
        <v>262</v>
      </c>
      <c r="D16" s="5" t="s">
        <v>94</v>
      </c>
    </row>
    <row r="17" spans="1:4" x14ac:dyDescent="0.3">
      <c r="A17" s="25" t="s">
        <v>246</v>
      </c>
      <c r="B17" s="26" t="s">
        <v>262</v>
      </c>
      <c r="C17" s="6"/>
      <c r="D17" s="5" t="s">
        <v>111</v>
      </c>
    </row>
    <row r="18" spans="1:4" x14ac:dyDescent="0.3">
      <c r="A18" s="25" t="s">
        <v>240</v>
      </c>
      <c r="B18" s="26" t="s">
        <v>262</v>
      </c>
      <c r="D18" s="5" t="s">
        <v>137</v>
      </c>
    </row>
    <row r="19" spans="1:4" x14ac:dyDescent="0.3">
      <c r="A19" s="25" t="s">
        <v>238</v>
      </c>
      <c r="B19" s="26" t="s">
        <v>262</v>
      </c>
      <c r="D19" s="5" t="s">
        <v>146</v>
      </c>
    </row>
    <row r="20" spans="1:4" x14ac:dyDescent="0.3">
      <c r="A20" s="25" t="s">
        <v>239</v>
      </c>
      <c r="B20" s="26" t="s">
        <v>262</v>
      </c>
      <c r="D20" s="5" t="s">
        <v>143</v>
      </c>
    </row>
    <row r="21" spans="1:4" ht="15.75" customHeight="1" x14ac:dyDescent="0.3">
      <c r="A21" s="25" t="s">
        <v>232</v>
      </c>
      <c r="B21" s="26" t="s">
        <v>262</v>
      </c>
      <c r="D21" s="5" t="s">
        <v>145</v>
      </c>
    </row>
    <row r="22" spans="1:4" x14ac:dyDescent="0.3">
      <c r="A22" s="25" t="s">
        <v>261</v>
      </c>
      <c r="B22" s="26" t="s">
        <v>262</v>
      </c>
      <c r="D22" s="5" t="s">
        <v>95</v>
      </c>
    </row>
    <row r="23" spans="1:4" x14ac:dyDescent="0.3">
      <c r="A23" s="25" t="s">
        <v>242</v>
      </c>
      <c r="B23" s="26" t="s">
        <v>262</v>
      </c>
      <c r="C23" s="6"/>
      <c r="D23" s="5" t="s">
        <v>350</v>
      </c>
    </row>
    <row r="24" spans="1:4" x14ac:dyDescent="0.3">
      <c r="A24" s="25" t="s">
        <v>241</v>
      </c>
      <c r="B24" s="26" t="s">
        <v>262</v>
      </c>
      <c r="D24" s="5" t="s">
        <v>304</v>
      </c>
    </row>
    <row r="25" spans="1:4" x14ac:dyDescent="0.3">
      <c r="A25" s="34" t="s">
        <v>258</v>
      </c>
      <c r="B25" s="35" t="s">
        <v>272</v>
      </c>
      <c r="C25" s="5"/>
      <c r="D25" s="5" t="s">
        <v>293</v>
      </c>
    </row>
    <row r="26" spans="1:4" x14ac:dyDescent="0.3">
      <c r="A26" s="25" t="s">
        <v>266</v>
      </c>
      <c r="B26" s="26" t="s">
        <v>262</v>
      </c>
      <c r="C26" s="6"/>
      <c r="D26" s="5" t="s">
        <v>142</v>
      </c>
    </row>
    <row r="27" spans="1:4" x14ac:dyDescent="0.3">
      <c r="A27" s="25" t="s">
        <v>248</v>
      </c>
      <c r="B27" s="26" t="s">
        <v>262</v>
      </c>
      <c r="C27" s="6"/>
      <c r="D27" s="5" t="s">
        <v>113</v>
      </c>
    </row>
    <row r="28" spans="1:4" x14ac:dyDescent="0.3">
      <c r="A28" s="25" t="s">
        <v>265</v>
      </c>
      <c r="B28" s="26" t="s">
        <v>262</v>
      </c>
      <c r="D28" s="7" t="s">
        <v>371</v>
      </c>
    </row>
    <row r="29" spans="1:4" x14ac:dyDescent="0.3">
      <c r="A29" s="28" t="s">
        <v>268</v>
      </c>
      <c r="B29" s="29" t="s">
        <v>267</v>
      </c>
      <c r="C29" s="5"/>
      <c r="D29" s="7"/>
    </row>
    <row r="30" spans="1:4" x14ac:dyDescent="0.3">
      <c r="A30" s="25" t="s">
        <v>233</v>
      </c>
      <c r="B30" s="26" t="s">
        <v>262</v>
      </c>
      <c r="D30" s="7"/>
    </row>
    <row r="31" spans="1:4" x14ac:dyDescent="0.3">
      <c r="A31" s="27" t="s">
        <v>234</v>
      </c>
      <c r="B31" s="27" t="s">
        <v>262</v>
      </c>
      <c r="D31" s="7"/>
    </row>
    <row r="32" spans="1:4" x14ac:dyDescent="0.3">
      <c r="A32" s="36" t="s">
        <v>259</v>
      </c>
      <c r="B32" s="37" t="s">
        <v>273</v>
      </c>
      <c r="C32" s="5"/>
      <c r="D32" s="7"/>
    </row>
    <row r="33" spans="1:4" x14ac:dyDescent="0.3">
      <c r="A33" s="38" t="s">
        <v>260</v>
      </c>
      <c r="B33" s="39" t="s">
        <v>274</v>
      </c>
      <c r="C33" s="5"/>
      <c r="D33" s="7"/>
    </row>
    <row r="34" spans="1:4" x14ac:dyDescent="0.3">
      <c r="A34" s="25" t="s">
        <v>245</v>
      </c>
      <c r="B34" s="26" t="s">
        <v>262</v>
      </c>
      <c r="C34" s="6"/>
      <c r="D34" s="7"/>
    </row>
    <row r="35" spans="1:4" x14ac:dyDescent="0.3">
      <c r="A35" s="30" t="s">
        <v>269</v>
      </c>
      <c r="B35" s="31" t="s">
        <v>270</v>
      </c>
      <c r="C35" s="5"/>
      <c r="D35" s="7"/>
    </row>
    <row r="36" spans="1:4" x14ac:dyDescent="0.3">
      <c r="A36" s="25" t="s">
        <v>236</v>
      </c>
      <c r="B36" s="26" t="s">
        <v>262</v>
      </c>
      <c r="D36" s="7"/>
    </row>
    <row r="37" spans="1:4" x14ac:dyDescent="0.3">
      <c r="A37" s="30" t="s">
        <v>256</v>
      </c>
      <c r="B37" s="31" t="s">
        <v>270</v>
      </c>
      <c r="C37" s="5"/>
      <c r="D37" s="7"/>
    </row>
    <row r="38" spans="1:4" x14ac:dyDescent="0.3">
      <c r="A38" s="5"/>
      <c r="B38" s="5"/>
      <c r="C38" s="5"/>
      <c r="D38" s="7"/>
    </row>
    <row r="39" spans="1:4" x14ac:dyDescent="0.3">
      <c r="A39" s="5"/>
      <c r="B39" s="5"/>
      <c r="C39" s="5"/>
      <c r="D39" s="7"/>
    </row>
    <row r="40" spans="1:4" x14ac:dyDescent="0.3">
      <c r="A40" s="5"/>
      <c r="B40" s="5"/>
      <c r="C40" s="5"/>
      <c r="D40" s="7"/>
    </row>
    <row r="41" spans="1:4" x14ac:dyDescent="0.3">
      <c r="A41" s="5"/>
      <c r="B41" s="5"/>
      <c r="C41" s="5"/>
      <c r="D41" s="7"/>
    </row>
    <row r="42" spans="1:4" x14ac:dyDescent="0.3">
      <c r="A42" s="5"/>
      <c r="B42" s="5"/>
      <c r="C42" s="5"/>
      <c r="D42" s="7"/>
    </row>
    <row r="43" spans="1:4" x14ac:dyDescent="0.3">
      <c r="A43" s="5"/>
      <c r="B43" s="5"/>
      <c r="C43" s="5"/>
      <c r="D43" s="7"/>
    </row>
    <row r="44" spans="1:4" x14ac:dyDescent="0.3">
      <c r="A44" s="5"/>
      <c r="B44" s="5"/>
      <c r="C44" s="5"/>
      <c r="D44" s="7"/>
    </row>
    <row r="45" spans="1:4" x14ac:dyDescent="0.3">
      <c r="A45" s="5"/>
      <c r="B45" s="5"/>
      <c r="C45" s="5"/>
      <c r="D45" s="7"/>
    </row>
    <row r="46" spans="1:4" x14ac:dyDescent="0.3">
      <c r="A46" s="5"/>
      <c r="B46" s="5"/>
      <c r="C46" s="5"/>
      <c r="D46" s="7"/>
    </row>
    <row r="47" spans="1:4" x14ac:dyDescent="0.3">
      <c r="A47" s="5"/>
      <c r="B47" s="5"/>
      <c r="C47" s="5"/>
      <c r="D47" s="7"/>
    </row>
    <row r="48" spans="1:4" x14ac:dyDescent="0.3">
      <c r="A48" s="5"/>
      <c r="B48" s="5"/>
      <c r="C48" s="5"/>
      <c r="D48" s="7"/>
    </row>
    <row r="49" spans="1:4" x14ac:dyDescent="0.3">
      <c r="A49" s="5"/>
      <c r="B49" s="5"/>
      <c r="C49" s="5"/>
      <c r="D49" s="7"/>
    </row>
    <row r="50" spans="1:4" x14ac:dyDescent="0.3">
      <c r="A50" s="5"/>
      <c r="B50" s="5"/>
      <c r="C50" s="5"/>
      <c r="D50" s="7"/>
    </row>
    <row r="51" spans="1:4" x14ac:dyDescent="0.3">
      <c r="A51" s="5"/>
      <c r="B51" s="5"/>
      <c r="C51" s="5"/>
      <c r="D51" s="7"/>
    </row>
    <row r="52" spans="1:4" x14ac:dyDescent="0.3">
      <c r="A52" s="5"/>
      <c r="B52" s="5"/>
      <c r="C52" s="5"/>
      <c r="D52" s="7"/>
    </row>
    <row r="53" spans="1:4" x14ac:dyDescent="0.3">
      <c r="A53" s="5"/>
      <c r="B53" s="5"/>
      <c r="C53" s="5"/>
      <c r="D53" s="7"/>
    </row>
    <row r="54" spans="1:4" x14ac:dyDescent="0.3">
      <c r="A54" s="5"/>
      <c r="B54" s="5"/>
      <c r="C54" s="5"/>
      <c r="D54" s="7"/>
    </row>
    <row r="55" spans="1:4" x14ac:dyDescent="0.3">
      <c r="A55" s="5"/>
      <c r="B55" s="5"/>
      <c r="C55" s="5"/>
      <c r="D55" s="7"/>
    </row>
    <row r="56" spans="1:4" x14ac:dyDescent="0.3">
      <c r="A56" s="5"/>
      <c r="B56" s="5"/>
      <c r="C56" s="5"/>
      <c r="D56" s="7"/>
    </row>
    <row r="57" spans="1:4" x14ac:dyDescent="0.3">
      <c r="A57" s="5"/>
      <c r="B57" s="5"/>
      <c r="C57" s="5"/>
      <c r="D57" s="7"/>
    </row>
    <row r="58" spans="1:4" x14ac:dyDescent="0.3">
      <c r="A58" s="5"/>
      <c r="B58" s="5"/>
      <c r="C58" s="5"/>
      <c r="D58" s="7"/>
    </row>
    <row r="59" spans="1:4" x14ac:dyDescent="0.3">
      <c r="A59" s="5"/>
      <c r="B59" s="5"/>
      <c r="C59" s="5"/>
      <c r="D59" s="7"/>
    </row>
    <row r="60" spans="1:4" x14ac:dyDescent="0.3">
      <c r="A60" s="5"/>
      <c r="B60" s="5"/>
      <c r="C60" s="5"/>
      <c r="D60" s="7"/>
    </row>
    <row r="61" spans="1:4" x14ac:dyDescent="0.3">
      <c r="A61" s="5"/>
      <c r="B61" s="5"/>
      <c r="C61" s="5"/>
      <c r="D61" s="7"/>
    </row>
    <row r="62" spans="1:4" x14ac:dyDescent="0.3">
      <c r="A62" s="5"/>
      <c r="B62" s="5"/>
      <c r="C62" s="5"/>
      <c r="D62" s="7"/>
    </row>
    <row r="63" spans="1:4" x14ac:dyDescent="0.3">
      <c r="A63" s="5"/>
      <c r="B63" s="5"/>
      <c r="C63" s="5"/>
      <c r="D63" s="7"/>
    </row>
    <row r="64" spans="1:4" x14ac:dyDescent="0.3">
      <c r="A64" s="5"/>
      <c r="B64" s="5"/>
      <c r="C64" s="5"/>
      <c r="D64" s="7"/>
    </row>
    <row r="65" spans="1:4" x14ac:dyDescent="0.3">
      <c r="A65" s="5"/>
      <c r="B65" s="5"/>
      <c r="C65" s="5"/>
      <c r="D65" s="7"/>
    </row>
    <row r="66" spans="1:4" x14ac:dyDescent="0.3">
      <c r="A66" s="5"/>
      <c r="B66" s="5"/>
      <c r="C66" s="5"/>
      <c r="D66" s="7"/>
    </row>
    <row r="67" spans="1:4" x14ac:dyDescent="0.3">
      <c r="A67" s="5"/>
      <c r="B67" s="5"/>
      <c r="C67" s="5"/>
      <c r="D67" s="7"/>
    </row>
    <row r="68" spans="1:4" x14ac:dyDescent="0.3">
      <c r="A68" s="5"/>
      <c r="B68" s="5"/>
      <c r="C68" s="5"/>
      <c r="D68" s="7"/>
    </row>
    <row r="69" spans="1:4" x14ac:dyDescent="0.3">
      <c r="A69" s="5"/>
      <c r="B69" s="5"/>
      <c r="C69" s="5"/>
      <c r="D69" s="7"/>
    </row>
    <row r="70" spans="1:4" x14ac:dyDescent="0.3">
      <c r="A70" s="5"/>
      <c r="B70" s="5"/>
      <c r="C70" s="5"/>
      <c r="D70" s="7"/>
    </row>
    <row r="71" spans="1:4" x14ac:dyDescent="0.3">
      <c r="A71" s="5"/>
      <c r="B71" s="5"/>
      <c r="C71" s="5"/>
      <c r="D71" s="7"/>
    </row>
    <row r="72" spans="1:4" x14ac:dyDescent="0.3">
      <c r="A72" s="5"/>
      <c r="B72" s="5"/>
      <c r="C72" s="5"/>
      <c r="D72" s="7"/>
    </row>
    <row r="73" spans="1:4" x14ac:dyDescent="0.3">
      <c r="A73" s="5"/>
      <c r="B73" s="5"/>
      <c r="C73" s="5"/>
      <c r="D73" s="7"/>
    </row>
    <row r="74" spans="1:4" x14ac:dyDescent="0.3">
      <c r="A74" s="5"/>
      <c r="B74" s="5"/>
      <c r="C74" s="5"/>
      <c r="D74" s="7"/>
    </row>
    <row r="75" spans="1:4" x14ac:dyDescent="0.3">
      <c r="A75" s="5"/>
      <c r="B75" s="5"/>
      <c r="C75" s="5"/>
      <c r="D75" s="7"/>
    </row>
    <row r="76" spans="1:4" x14ac:dyDescent="0.3">
      <c r="A76" s="5"/>
      <c r="B76" s="5"/>
      <c r="C76" s="5"/>
      <c r="D76" s="7"/>
    </row>
    <row r="77" spans="1:4" x14ac:dyDescent="0.3">
      <c r="A77" s="5"/>
      <c r="B77" s="5"/>
      <c r="C77" s="5"/>
      <c r="D77" s="7"/>
    </row>
    <row r="78" spans="1:4" x14ac:dyDescent="0.3">
      <c r="A78" s="5"/>
      <c r="B78" s="5"/>
      <c r="C78" s="5"/>
      <c r="D78" s="7"/>
    </row>
    <row r="79" spans="1:4" x14ac:dyDescent="0.3">
      <c r="A79" s="5"/>
      <c r="B79" s="5"/>
      <c r="C79" s="5"/>
      <c r="D79" s="7"/>
    </row>
    <row r="80" spans="1:4" x14ac:dyDescent="0.3">
      <c r="A80" s="5"/>
      <c r="B80" s="5"/>
      <c r="C80" s="5"/>
      <c r="D80" s="7"/>
    </row>
    <row r="81" spans="1:4" x14ac:dyDescent="0.3">
      <c r="A81" s="5"/>
      <c r="B81" s="5"/>
      <c r="C81" s="5"/>
      <c r="D81" s="7"/>
    </row>
    <row r="82" spans="1:4" x14ac:dyDescent="0.3">
      <c r="A82" s="5"/>
      <c r="B82" s="5"/>
      <c r="C82" s="5"/>
      <c r="D82" s="7"/>
    </row>
    <row r="83" spans="1:4" x14ac:dyDescent="0.3">
      <c r="A83" s="5"/>
      <c r="B83" s="5"/>
      <c r="C83" s="5"/>
      <c r="D83" s="7"/>
    </row>
    <row r="84" spans="1:4" x14ac:dyDescent="0.3">
      <c r="A84" s="5"/>
      <c r="B84" s="5"/>
      <c r="C84" s="5"/>
      <c r="D84" s="7"/>
    </row>
    <row r="85" spans="1:4" x14ac:dyDescent="0.3">
      <c r="A85" s="5"/>
      <c r="B85" s="5"/>
      <c r="C85" s="5"/>
      <c r="D85" s="7"/>
    </row>
    <row r="86" spans="1:4" x14ac:dyDescent="0.3">
      <c r="A86" s="5"/>
      <c r="B86" s="5"/>
      <c r="C86" s="5"/>
      <c r="D86" s="7"/>
    </row>
    <row r="87" spans="1:4" x14ac:dyDescent="0.3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'C:\Users\sokolenko.si\Desktop\МОИ ДОКИ\Табель\[Учет рабочего времени ООО ИИ-Отдел материально-технического обеспечения.XLSX]Подразделения'!#REF!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8671875" defaultRowHeight="14.4" x14ac:dyDescent="0.3"/>
  <cols>
    <col min="1" max="1" width="4.6640625" style="9" customWidth="1"/>
    <col min="2" max="2" width="11.88671875" style="12" customWidth="1"/>
    <col min="3" max="4" width="32.5546875" style="53" customWidth="1"/>
    <col min="5" max="5" width="63.88671875" style="53" customWidth="1"/>
    <col min="6" max="6" width="74.109375" style="53" customWidth="1"/>
    <col min="7" max="15" width="8.88671875" style="3"/>
    <col min="16" max="16384" width="8.88671875" style="1"/>
  </cols>
  <sheetData>
    <row r="1" spans="1:15" ht="14.25" customHeight="1" x14ac:dyDescent="0.3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3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3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3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3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3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3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3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3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3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3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3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3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3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3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3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3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3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3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3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3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3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3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3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3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3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3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3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3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3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3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3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3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3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3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3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3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3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3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3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3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3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3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3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3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3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3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3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3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3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3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3">
      <c r="A52" s="15"/>
      <c r="B52" s="13"/>
      <c r="C52" s="49" t="s">
        <v>393</v>
      </c>
      <c r="D52" s="49" t="str">
        <f t="shared" si="1"/>
        <v>Зарубин И.А.</v>
      </c>
      <c r="E52" s="126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3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3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3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3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3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3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3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3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3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3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3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3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3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3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3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3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3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3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3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3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3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3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3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3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3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3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3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3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3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3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3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3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3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3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3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3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3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3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3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3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3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3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3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3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3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3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3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3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3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3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3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3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3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3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3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3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3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3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3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3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3.8" x14ac:dyDescent="0.3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3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3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3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3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3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3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3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3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3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3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3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3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3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3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3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3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3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3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3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3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3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3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3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3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3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3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3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3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3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3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3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3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3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3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3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3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3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3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3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3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3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3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3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3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3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3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3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3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3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3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3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3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3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3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3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3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3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3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3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3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3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3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3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3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3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3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3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3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3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3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3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3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3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3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3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3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3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3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3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3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3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3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3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3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3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3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3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3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3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3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3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3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3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3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3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3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3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3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3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3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3.8" x14ac:dyDescent="0.3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3.8" x14ac:dyDescent="0.3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3.8" x14ac:dyDescent="0.3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3.8" x14ac:dyDescent="0.3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3.8" x14ac:dyDescent="0.3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3.8" x14ac:dyDescent="0.3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3.8" x14ac:dyDescent="0.3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3.8" x14ac:dyDescent="0.3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3.8" x14ac:dyDescent="0.3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3.8" x14ac:dyDescent="0.3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3.8" x14ac:dyDescent="0.3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3.8" x14ac:dyDescent="0.3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3.8" x14ac:dyDescent="0.3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3.8" x14ac:dyDescent="0.3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3.8" x14ac:dyDescent="0.3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3.8" x14ac:dyDescent="0.3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3.8" x14ac:dyDescent="0.3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3.8" x14ac:dyDescent="0.3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3.8" x14ac:dyDescent="0.3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3.8" x14ac:dyDescent="0.3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3.8" x14ac:dyDescent="0.3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3.8" x14ac:dyDescent="0.3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3.8" x14ac:dyDescent="0.3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3.8" x14ac:dyDescent="0.3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3.8" x14ac:dyDescent="0.3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3.8" x14ac:dyDescent="0.3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3.8" x14ac:dyDescent="0.3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3.8" x14ac:dyDescent="0.3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3.8" x14ac:dyDescent="0.3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3.8" x14ac:dyDescent="0.3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3.8" x14ac:dyDescent="0.3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3.8" x14ac:dyDescent="0.3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3.8" x14ac:dyDescent="0.3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3.8" x14ac:dyDescent="0.3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3.8" x14ac:dyDescent="0.3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3.8" x14ac:dyDescent="0.3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3.8" x14ac:dyDescent="0.3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3.8" x14ac:dyDescent="0.3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3.8" x14ac:dyDescent="0.3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3.8" x14ac:dyDescent="0.3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3.8" x14ac:dyDescent="0.3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3.8" x14ac:dyDescent="0.3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3.8" x14ac:dyDescent="0.3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3.8" x14ac:dyDescent="0.3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3.8" x14ac:dyDescent="0.3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3.8" x14ac:dyDescent="0.3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3.8" x14ac:dyDescent="0.3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3.8" x14ac:dyDescent="0.3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3.8" x14ac:dyDescent="0.3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3.8" x14ac:dyDescent="0.3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3.8" x14ac:dyDescent="0.3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3.8" x14ac:dyDescent="0.3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3.8" x14ac:dyDescent="0.3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3.8" x14ac:dyDescent="0.3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3.8" x14ac:dyDescent="0.3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3.8" x14ac:dyDescent="0.3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3.8" x14ac:dyDescent="0.3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3.8" x14ac:dyDescent="0.3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3.8" x14ac:dyDescent="0.3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3.8" x14ac:dyDescent="0.3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3.8" x14ac:dyDescent="0.3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3.8" x14ac:dyDescent="0.3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3.8" x14ac:dyDescent="0.3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3.8" x14ac:dyDescent="0.3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3.8" x14ac:dyDescent="0.3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3.8" x14ac:dyDescent="0.3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3.8" x14ac:dyDescent="0.3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3.8" x14ac:dyDescent="0.3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3.8" x14ac:dyDescent="0.3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3.8" x14ac:dyDescent="0.3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3.8" x14ac:dyDescent="0.3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3.8" x14ac:dyDescent="0.3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3.8" x14ac:dyDescent="0.3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3.8" x14ac:dyDescent="0.3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3.8" x14ac:dyDescent="0.3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3.8" x14ac:dyDescent="0.3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3.8" x14ac:dyDescent="0.3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3.8" x14ac:dyDescent="0.3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3.8" x14ac:dyDescent="0.3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3.8" x14ac:dyDescent="0.3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3.8" x14ac:dyDescent="0.3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3.8" x14ac:dyDescent="0.3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3.8" x14ac:dyDescent="0.3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3.8" x14ac:dyDescent="0.3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3.8" x14ac:dyDescent="0.3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3.8" x14ac:dyDescent="0.3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3.8" x14ac:dyDescent="0.3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3.8" x14ac:dyDescent="0.3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3.8" x14ac:dyDescent="0.3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3.8" x14ac:dyDescent="0.3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3.8" x14ac:dyDescent="0.3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3.8" x14ac:dyDescent="0.3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3.8" x14ac:dyDescent="0.3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3.8" x14ac:dyDescent="0.3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3.8" x14ac:dyDescent="0.3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3.8" x14ac:dyDescent="0.3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3.8" x14ac:dyDescent="0.3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3.8" x14ac:dyDescent="0.3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3.8" x14ac:dyDescent="0.3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3.8" x14ac:dyDescent="0.3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3.8" x14ac:dyDescent="0.3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3.8" x14ac:dyDescent="0.3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3.8" x14ac:dyDescent="0.3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3.8" x14ac:dyDescent="0.3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3.8" x14ac:dyDescent="0.3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3.8" x14ac:dyDescent="0.3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3.8" x14ac:dyDescent="0.3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3.8" x14ac:dyDescent="0.3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3.8" x14ac:dyDescent="0.3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3.8" x14ac:dyDescent="0.3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3.8" x14ac:dyDescent="0.3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3.8" x14ac:dyDescent="0.3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3.8" x14ac:dyDescent="0.3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3.8" x14ac:dyDescent="0.3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3.8" x14ac:dyDescent="0.3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3.8" x14ac:dyDescent="0.3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3.8" x14ac:dyDescent="0.3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3.8" x14ac:dyDescent="0.3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3.8" x14ac:dyDescent="0.3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3.8" x14ac:dyDescent="0.3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3.8" x14ac:dyDescent="0.3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3.8" x14ac:dyDescent="0.3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3.8" x14ac:dyDescent="0.3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3.8" x14ac:dyDescent="0.3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3.8" x14ac:dyDescent="0.3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3.8" x14ac:dyDescent="0.3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3.8" x14ac:dyDescent="0.3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3.8" x14ac:dyDescent="0.3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3.8" x14ac:dyDescent="0.3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3.8" x14ac:dyDescent="0.3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3.8" x14ac:dyDescent="0.3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3.8" x14ac:dyDescent="0.3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3.8" x14ac:dyDescent="0.3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3.8" x14ac:dyDescent="0.3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3.8" x14ac:dyDescent="0.3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3.8" x14ac:dyDescent="0.3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3.8" x14ac:dyDescent="0.3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3.8" x14ac:dyDescent="0.3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3.8" x14ac:dyDescent="0.3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3.8" x14ac:dyDescent="0.3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3.8" x14ac:dyDescent="0.3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3.8" x14ac:dyDescent="0.3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3.8" x14ac:dyDescent="0.3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3.8" x14ac:dyDescent="0.3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3.8" x14ac:dyDescent="0.3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3.8" x14ac:dyDescent="0.3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3.8" x14ac:dyDescent="0.3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3.8" x14ac:dyDescent="0.3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3.8" x14ac:dyDescent="0.3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3.8" x14ac:dyDescent="0.3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3.8" x14ac:dyDescent="0.3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3.8" x14ac:dyDescent="0.3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3.8" x14ac:dyDescent="0.3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3.8" x14ac:dyDescent="0.3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3.8" x14ac:dyDescent="0.3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3.8" x14ac:dyDescent="0.3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3.8" x14ac:dyDescent="0.3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3.8" x14ac:dyDescent="0.3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3.8" x14ac:dyDescent="0.3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3.8" x14ac:dyDescent="0.3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3.8" x14ac:dyDescent="0.3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3.8" x14ac:dyDescent="0.3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3.8" x14ac:dyDescent="0.3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3.8" x14ac:dyDescent="0.3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3.8" x14ac:dyDescent="0.3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3.8" x14ac:dyDescent="0.3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3.8" x14ac:dyDescent="0.3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3.8" x14ac:dyDescent="0.3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3.8" x14ac:dyDescent="0.3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3.8" x14ac:dyDescent="0.3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3.8" x14ac:dyDescent="0.3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3.8" x14ac:dyDescent="0.3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3.8" x14ac:dyDescent="0.3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3.8" x14ac:dyDescent="0.3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3.8" x14ac:dyDescent="0.3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3.8" x14ac:dyDescent="0.3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3.8" x14ac:dyDescent="0.3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3.8" x14ac:dyDescent="0.3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3.8" x14ac:dyDescent="0.3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3.8" x14ac:dyDescent="0.3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3.8" x14ac:dyDescent="0.3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3.8" x14ac:dyDescent="0.3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3.8" x14ac:dyDescent="0.3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3.8" x14ac:dyDescent="0.3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3.8" x14ac:dyDescent="0.3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3.8" x14ac:dyDescent="0.3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3.8" x14ac:dyDescent="0.3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3.8" x14ac:dyDescent="0.3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3.8" x14ac:dyDescent="0.3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3.8" x14ac:dyDescent="0.3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3.8" x14ac:dyDescent="0.3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3.8" x14ac:dyDescent="0.3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3.8" x14ac:dyDescent="0.3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3.8" x14ac:dyDescent="0.3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3.8" x14ac:dyDescent="0.3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3.8" x14ac:dyDescent="0.3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3.8" x14ac:dyDescent="0.3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3.8" x14ac:dyDescent="0.3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3.8" x14ac:dyDescent="0.3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3.8" x14ac:dyDescent="0.3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3.8" x14ac:dyDescent="0.3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3.8" x14ac:dyDescent="0.3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3.8" x14ac:dyDescent="0.3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3.8" x14ac:dyDescent="0.3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3.8" x14ac:dyDescent="0.3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3.8" x14ac:dyDescent="0.3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3.8" x14ac:dyDescent="0.3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3.8" x14ac:dyDescent="0.3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3.8" x14ac:dyDescent="0.3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3.8" x14ac:dyDescent="0.3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3.8" x14ac:dyDescent="0.3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3.8" x14ac:dyDescent="0.3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3.8" x14ac:dyDescent="0.3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3.8" x14ac:dyDescent="0.3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3.8" x14ac:dyDescent="0.3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3.8" x14ac:dyDescent="0.3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3.8" x14ac:dyDescent="0.3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3.8" x14ac:dyDescent="0.3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3.8" x14ac:dyDescent="0.3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3.8" x14ac:dyDescent="0.3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3.8" x14ac:dyDescent="0.3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3.8" x14ac:dyDescent="0.3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3.8" x14ac:dyDescent="0.3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3.8" x14ac:dyDescent="0.3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3.8" x14ac:dyDescent="0.3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3.8" x14ac:dyDescent="0.3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3.8" x14ac:dyDescent="0.3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3.8" x14ac:dyDescent="0.3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3.8" x14ac:dyDescent="0.3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3.8" x14ac:dyDescent="0.3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3.8" x14ac:dyDescent="0.3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3.8" x14ac:dyDescent="0.3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3.8" x14ac:dyDescent="0.3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3.8" x14ac:dyDescent="0.3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3.8" x14ac:dyDescent="0.3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3.8" x14ac:dyDescent="0.3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3.8" x14ac:dyDescent="0.3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3.8" x14ac:dyDescent="0.3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3.8" x14ac:dyDescent="0.3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3.8" x14ac:dyDescent="0.3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3.8" x14ac:dyDescent="0.3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3.8" x14ac:dyDescent="0.3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3.8" x14ac:dyDescent="0.3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3.8" x14ac:dyDescent="0.3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3.8" x14ac:dyDescent="0.3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3.8" x14ac:dyDescent="0.3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3.8" x14ac:dyDescent="0.3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3.8" x14ac:dyDescent="0.3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3.8" x14ac:dyDescent="0.3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3.8" x14ac:dyDescent="0.3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3.8" x14ac:dyDescent="0.3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3.8" x14ac:dyDescent="0.3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3.8" x14ac:dyDescent="0.3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3.8" x14ac:dyDescent="0.3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3.8" x14ac:dyDescent="0.3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3.8" x14ac:dyDescent="0.3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3.8" x14ac:dyDescent="0.3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3.8" x14ac:dyDescent="0.3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3.8" x14ac:dyDescent="0.3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3.8" x14ac:dyDescent="0.3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3.8" x14ac:dyDescent="0.3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3.8" x14ac:dyDescent="0.3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3.8" x14ac:dyDescent="0.3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3.8" x14ac:dyDescent="0.3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3.8" x14ac:dyDescent="0.3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3.8" x14ac:dyDescent="0.3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3.8" x14ac:dyDescent="0.3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3.8" x14ac:dyDescent="0.3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3.8" x14ac:dyDescent="0.3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3.8" x14ac:dyDescent="0.3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3.8" x14ac:dyDescent="0.3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3.8" x14ac:dyDescent="0.3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3.8" x14ac:dyDescent="0.3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3.8" x14ac:dyDescent="0.3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3.8" x14ac:dyDescent="0.3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3.8" x14ac:dyDescent="0.3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3.8" x14ac:dyDescent="0.3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3.8" x14ac:dyDescent="0.3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3.8" x14ac:dyDescent="0.3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3.8" x14ac:dyDescent="0.3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3.8" x14ac:dyDescent="0.3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3.8" x14ac:dyDescent="0.3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3.8" x14ac:dyDescent="0.3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3.8" x14ac:dyDescent="0.3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3.8" x14ac:dyDescent="0.3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3.8" x14ac:dyDescent="0.3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3.8" x14ac:dyDescent="0.3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3.8" x14ac:dyDescent="0.3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3.8" x14ac:dyDescent="0.3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3.8" x14ac:dyDescent="0.3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3.8" x14ac:dyDescent="0.3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3.8" x14ac:dyDescent="0.3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3.8" x14ac:dyDescent="0.3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3.8" x14ac:dyDescent="0.3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3.8" x14ac:dyDescent="0.3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3.8" x14ac:dyDescent="0.3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3.8" x14ac:dyDescent="0.3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3.8" x14ac:dyDescent="0.3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3.8" x14ac:dyDescent="0.3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3.8" x14ac:dyDescent="0.3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3.8" x14ac:dyDescent="0.3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3.8" x14ac:dyDescent="0.3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3.8" x14ac:dyDescent="0.3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3.8" x14ac:dyDescent="0.3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3.8" x14ac:dyDescent="0.3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3.8" x14ac:dyDescent="0.3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3.8" x14ac:dyDescent="0.3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3.8" x14ac:dyDescent="0.3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3.8" x14ac:dyDescent="0.3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3.8" x14ac:dyDescent="0.3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3.8" x14ac:dyDescent="0.3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3.8" x14ac:dyDescent="0.3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3.8" x14ac:dyDescent="0.3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3.8" x14ac:dyDescent="0.3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3.8" x14ac:dyDescent="0.3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3.8" x14ac:dyDescent="0.3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3.8" x14ac:dyDescent="0.3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3.8" x14ac:dyDescent="0.3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3.8" x14ac:dyDescent="0.3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3.8" x14ac:dyDescent="0.3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3.8" x14ac:dyDescent="0.3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3.8" x14ac:dyDescent="0.3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3.8" x14ac:dyDescent="0.3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3.8" x14ac:dyDescent="0.3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3.8" x14ac:dyDescent="0.3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3.8" x14ac:dyDescent="0.3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3.8" x14ac:dyDescent="0.3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3.8" x14ac:dyDescent="0.3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3.8" x14ac:dyDescent="0.3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3.8" x14ac:dyDescent="0.3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3.8" x14ac:dyDescent="0.3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3.8" x14ac:dyDescent="0.3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3.8" x14ac:dyDescent="0.3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3.8" x14ac:dyDescent="0.3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3.8" x14ac:dyDescent="0.3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3.8" x14ac:dyDescent="0.3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3.8" x14ac:dyDescent="0.3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3.8" x14ac:dyDescent="0.3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3.8" x14ac:dyDescent="0.3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3.8" x14ac:dyDescent="0.3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3.8" x14ac:dyDescent="0.3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3.8" x14ac:dyDescent="0.3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3.8" x14ac:dyDescent="0.3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3.8" x14ac:dyDescent="0.3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3.8" x14ac:dyDescent="0.3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3.8" x14ac:dyDescent="0.3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3.8" x14ac:dyDescent="0.3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3.8" x14ac:dyDescent="0.3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3.8" x14ac:dyDescent="0.3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3.8" x14ac:dyDescent="0.3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3.8" x14ac:dyDescent="0.3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3.8" x14ac:dyDescent="0.3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3.8" x14ac:dyDescent="0.3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3.8" x14ac:dyDescent="0.3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3.8" x14ac:dyDescent="0.3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3.8" x14ac:dyDescent="0.3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3.8" x14ac:dyDescent="0.3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3.8" x14ac:dyDescent="0.3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3.8" x14ac:dyDescent="0.3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3.8" x14ac:dyDescent="0.3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3.8" x14ac:dyDescent="0.3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3.8" x14ac:dyDescent="0.3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3.8" x14ac:dyDescent="0.3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3.8" x14ac:dyDescent="0.3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3.8" x14ac:dyDescent="0.3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3.8" x14ac:dyDescent="0.3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3.8" x14ac:dyDescent="0.3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3.8" x14ac:dyDescent="0.3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3.8" x14ac:dyDescent="0.3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3.8" x14ac:dyDescent="0.3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3.8" x14ac:dyDescent="0.3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3.8" x14ac:dyDescent="0.3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3.8" x14ac:dyDescent="0.3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3.8" x14ac:dyDescent="0.3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3.8" x14ac:dyDescent="0.3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3.8" x14ac:dyDescent="0.3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3.8" x14ac:dyDescent="0.3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3.8" x14ac:dyDescent="0.3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3.8" x14ac:dyDescent="0.3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3.8" x14ac:dyDescent="0.3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3.8" x14ac:dyDescent="0.3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3.8" x14ac:dyDescent="0.3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3.8" x14ac:dyDescent="0.3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3.8" x14ac:dyDescent="0.3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3.8" x14ac:dyDescent="0.3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3.8" x14ac:dyDescent="0.3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3.8" x14ac:dyDescent="0.3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3.8" x14ac:dyDescent="0.3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3.8" x14ac:dyDescent="0.3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3.8" x14ac:dyDescent="0.3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3.8" x14ac:dyDescent="0.3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3.8" x14ac:dyDescent="0.3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3.8" x14ac:dyDescent="0.3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3.8" x14ac:dyDescent="0.3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3.8" x14ac:dyDescent="0.3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3.8" x14ac:dyDescent="0.3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3.8" x14ac:dyDescent="0.3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3.8" x14ac:dyDescent="0.3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3.8" x14ac:dyDescent="0.3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3.8" x14ac:dyDescent="0.3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3.8" x14ac:dyDescent="0.3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3.8" x14ac:dyDescent="0.3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3.8" x14ac:dyDescent="0.3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3.8" x14ac:dyDescent="0.3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3.8" x14ac:dyDescent="0.3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3.8" x14ac:dyDescent="0.3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3.8" x14ac:dyDescent="0.3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3.8" x14ac:dyDescent="0.3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3.8" x14ac:dyDescent="0.3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3.8" x14ac:dyDescent="0.3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3.8" x14ac:dyDescent="0.3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3.8" x14ac:dyDescent="0.3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3.8" x14ac:dyDescent="0.3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3.8" x14ac:dyDescent="0.3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3.8" x14ac:dyDescent="0.3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3.8" x14ac:dyDescent="0.3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3.8" x14ac:dyDescent="0.3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3.8" x14ac:dyDescent="0.3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3.8" x14ac:dyDescent="0.3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3.8" x14ac:dyDescent="0.3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3.8" x14ac:dyDescent="0.3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3.8" x14ac:dyDescent="0.3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3.8" x14ac:dyDescent="0.3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3.8" x14ac:dyDescent="0.3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3.8" x14ac:dyDescent="0.3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3.8" x14ac:dyDescent="0.3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3.8" x14ac:dyDescent="0.3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3.8" x14ac:dyDescent="0.3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3.8" x14ac:dyDescent="0.3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3.8" x14ac:dyDescent="0.3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3.8" x14ac:dyDescent="0.3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3.8" x14ac:dyDescent="0.3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3.8" x14ac:dyDescent="0.3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3.8" x14ac:dyDescent="0.3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3.8" x14ac:dyDescent="0.3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3.8" x14ac:dyDescent="0.3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3.8" x14ac:dyDescent="0.3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3.8" x14ac:dyDescent="0.3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3.8" x14ac:dyDescent="0.3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3.8" x14ac:dyDescent="0.3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3.8" x14ac:dyDescent="0.3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3.8" x14ac:dyDescent="0.3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3.8" x14ac:dyDescent="0.3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3.8" x14ac:dyDescent="0.3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3.8" x14ac:dyDescent="0.3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3.8" x14ac:dyDescent="0.3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3.8" x14ac:dyDescent="0.3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3.8" x14ac:dyDescent="0.3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3.8" x14ac:dyDescent="0.3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3.8" x14ac:dyDescent="0.3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3.8" x14ac:dyDescent="0.3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3.8" x14ac:dyDescent="0.3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3.8" x14ac:dyDescent="0.3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3.8" x14ac:dyDescent="0.3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3.8" x14ac:dyDescent="0.3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3.8" x14ac:dyDescent="0.3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3.8" x14ac:dyDescent="0.3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3.8" x14ac:dyDescent="0.3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3.8" x14ac:dyDescent="0.3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3.8" x14ac:dyDescent="0.3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3.8" x14ac:dyDescent="0.3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3.8" x14ac:dyDescent="0.3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3.8" x14ac:dyDescent="0.3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3.8" x14ac:dyDescent="0.3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3.8" x14ac:dyDescent="0.3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3.8" x14ac:dyDescent="0.3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3.8" x14ac:dyDescent="0.3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3.8" x14ac:dyDescent="0.3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3.8" x14ac:dyDescent="0.3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3.8" x14ac:dyDescent="0.3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3.8" x14ac:dyDescent="0.3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3.8" x14ac:dyDescent="0.3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3.8" x14ac:dyDescent="0.3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3.8" x14ac:dyDescent="0.3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3.8" x14ac:dyDescent="0.3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3.8" x14ac:dyDescent="0.3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3.8" x14ac:dyDescent="0.3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3.8" x14ac:dyDescent="0.3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3.8" x14ac:dyDescent="0.3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3.8" x14ac:dyDescent="0.3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3.8" x14ac:dyDescent="0.3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3.8" x14ac:dyDescent="0.3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3.8" x14ac:dyDescent="0.3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3.8" x14ac:dyDescent="0.3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3.8" x14ac:dyDescent="0.3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3.8" x14ac:dyDescent="0.3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3.8" x14ac:dyDescent="0.3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3.8" x14ac:dyDescent="0.3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3.8" x14ac:dyDescent="0.3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3.8" x14ac:dyDescent="0.3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3.8" x14ac:dyDescent="0.3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3.8" x14ac:dyDescent="0.3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3.8" x14ac:dyDescent="0.3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3.8" x14ac:dyDescent="0.3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3.8" x14ac:dyDescent="0.3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3.8" x14ac:dyDescent="0.3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3.8" x14ac:dyDescent="0.3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3.8" x14ac:dyDescent="0.3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3.8" x14ac:dyDescent="0.3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3.8" x14ac:dyDescent="0.3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3.8" x14ac:dyDescent="0.3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3.8" x14ac:dyDescent="0.3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3.8" x14ac:dyDescent="0.3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3.8" x14ac:dyDescent="0.3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3.8" x14ac:dyDescent="0.3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3.8" x14ac:dyDescent="0.3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3.8" x14ac:dyDescent="0.3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3.8" x14ac:dyDescent="0.3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3.8" x14ac:dyDescent="0.3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3.8" x14ac:dyDescent="0.3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3.8" x14ac:dyDescent="0.3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3.8" x14ac:dyDescent="0.3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3.8" x14ac:dyDescent="0.3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3.8" x14ac:dyDescent="0.3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3.8" x14ac:dyDescent="0.3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3.8" x14ac:dyDescent="0.3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3.8" x14ac:dyDescent="0.3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3.8" x14ac:dyDescent="0.3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3.8" x14ac:dyDescent="0.3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3.8" x14ac:dyDescent="0.3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3.8" x14ac:dyDescent="0.3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3.8" x14ac:dyDescent="0.3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3.8" x14ac:dyDescent="0.3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3.8" x14ac:dyDescent="0.3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3.8" x14ac:dyDescent="0.3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3.8" x14ac:dyDescent="0.3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3.8" x14ac:dyDescent="0.3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3.8" x14ac:dyDescent="0.3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3.8" x14ac:dyDescent="0.3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3.8" x14ac:dyDescent="0.3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3.8" x14ac:dyDescent="0.3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3.8" x14ac:dyDescent="0.3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3.8" x14ac:dyDescent="0.3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3.8" x14ac:dyDescent="0.3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3.8" x14ac:dyDescent="0.3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3.8" x14ac:dyDescent="0.3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3.8" x14ac:dyDescent="0.3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3.8" x14ac:dyDescent="0.3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3.8" x14ac:dyDescent="0.3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3.8" x14ac:dyDescent="0.3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3.8" x14ac:dyDescent="0.3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3.8" x14ac:dyDescent="0.3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3.8" x14ac:dyDescent="0.3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3.8" x14ac:dyDescent="0.3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3.8" x14ac:dyDescent="0.3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3.8" x14ac:dyDescent="0.3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3.8" x14ac:dyDescent="0.3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3.8" x14ac:dyDescent="0.3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3.8" x14ac:dyDescent="0.3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3.8" x14ac:dyDescent="0.3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3.8" x14ac:dyDescent="0.3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3.8" x14ac:dyDescent="0.3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3.8" x14ac:dyDescent="0.3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3.8" x14ac:dyDescent="0.3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3.8" x14ac:dyDescent="0.3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3.8" x14ac:dyDescent="0.3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3.8" x14ac:dyDescent="0.3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3.8" x14ac:dyDescent="0.3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3.8" x14ac:dyDescent="0.3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3.8" x14ac:dyDescent="0.3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3.8" x14ac:dyDescent="0.3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3.8" x14ac:dyDescent="0.3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3.8" x14ac:dyDescent="0.3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3.8" x14ac:dyDescent="0.3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3.8" x14ac:dyDescent="0.3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3.8" x14ac:dyDescent="0.3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3.8" x14ac:dyDescent="0.3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3.8" x14ac:dyDescent="0.3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3.8" x14ac:dyDescent="0.3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3.8" x14ac:dyDescent="0.3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3.8" x14ac:dyDescent="0.3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3.8" x14ac:dyDescent="0.3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3.8" x14ac:dyDescent="0.3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3.8" x14ac:dyDescent="0.3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'C:\Users\Polyakov.my\AppData\Local\Microsoft\Windows\INetCache\Content.Outlook\JO0ICVWE\[Учет рабочего времени 2023_ДЭО Центральная служба (Май).xlsx]сотрудники'!#REF!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4.4" x14ac:dyDescent="0.3"/>
  <cols>
    <col min="1" max="1" width="80.109375" bestFit="1" customWidth="1"/>
  </cols>
  <sheetData>
    <row r="1" spans="1:1" x14ac:dyDescent="0.3">
      <c r="A1" s="22" t="s">
        <v>311</v>
      </c>
    </row>
    <row r="2" spans="1:1" x14ac:dyDescent="0.3">
      <c r="A2" s="7" t="s">
        <v>34</v>
      </c>
    </row>
    <row r="3" spans="1:1" x14ac:dyDescent="0.3">
      <c r="A3" s="7" t="s">
        <v>130</v>
      </c>
    </row>
    <row r="4" spans="1:1" x14ac:dyDescent="0.3">
      <c r="A4" s="7" t="s">
        <v>128</v>
      </c>
    </row>
    <row r="5" spans="1:1" x14ac:dyDescent="0.3">
      <c r="A5" s="40" t="s">
        <v>60</v>
      </c>
    </row>
    <row r="6" spans="1:1" x14ac:dyDescent="0.3">
      <c r="A6" s="45" t="s">
        <v>365</v>
      </c>
    </row>
    <row r="7" spans="1:1" x14ac:dyDescent="0.3">
      <c r="A7" s="40" t="s">
        <v>131</v>
      </c>
    </row>
    <row r="8" spans="1:1" x14ac:dyDescent="0.3">
      <c r="A8" s="40" t="s">
        <v>355</v>
      </c>
    </row>
    <row r="9" spans="1:1" x14ac:dyDescent="0.3">
      <c r="A9" s="40" t="s">
        <v>23</v>
      </c>
    </row>
    <row r="10" spans="1:1" x14ac:dyDescent="0.3">
      <c r="A10" s="40" t="s">
        <v>84</v>
      </c>
    </row>
    <row r="11" spans="1:1" x14ac:dyDescent="0.3">
      <c r="A11" s="40" t="s">
        <v>356</v>
      </c>
    </row>
    <row r="12" spans="1:1" x14ac:dyDescent="0.3">
      <c r="A12" s="40" t="s">
        <v>42</v>
      </c>
    </row>
    <row r="13" spans="1:1" x14ac:dyDescent="0.3">
      <c r="A13" s="40" t="s">
        <v>129</v>
      </c>
    </row>
    <row r="14" spans="1:1" x14ac:dyDescent="0.3">
      <c r="A14" s="43" t="s">
        <v>357</v>
      </c>
    </row>
    <row r="15" spans="1:1" x14ac:dyDescent="0.3">
      <c r="A15" s="40" t="s">
        <v>126</v>
      </c>
    </row>
    <row r="16" spans="1:1" x14ac:dyDescent="0.3">
      <c r="A16" s="40" t="s">
        <v>112</v>
      </c>
    </row>
    <row r="17" spans="1:1" x14ac:dyDescent="0.3">
      <c r="A17" s="40" t="s">
        <v>26</v>
      </c>
    </row>
    <row r="18" spans="1:1" x14ac:dyDescent="0.3">
      <c r="A18" s="43" t="s">
        <v>353</v>
      </c>
    </row>
    <row r="19" spans="1:1" x14ac:dyDescent="0.3">
      <c r="A19" s="40" t="s">
        <v>7</v>
      </c>
    </row>
    <row r="20" spans="1:1" x14ac:dyDescent="0.3">
      <c r="A20" s="5" t="s">
        <v>369</v>
      </c>
    </row>
    <row r="21" spans="1:1" x14ac:dyDescent="0.3">
      <c r="A21" s="40" t="s">
        <v>109</v>
      </c>
    </row>
    <row r="22" spans="1:1" x14ac:dyDescent="0.3">
      <c r="A22" s="24" t="s">
        <v>229</v>
      </c>
    </row>
    <row r="23" spans="1:1" x14ac:dyDescent="0.3">
      <c r="A23" s="40" t="s">
        <v>127</v>
      </c>
    </row>
    <row r="24" spans="1:1" x14ac:dyDescent="0.3">
      <c r="A24" s="40" t="s">
        <v>124</v>
      </c>
    </row>
    <row r="25" spans="1:1" x14ac:dyDescent="0.3">
      <c r="A25" s="40" t="s">
        <v>96</v>
      </c>
    </row>
    <row r="26" spans="1:1" x14ac:dyDescent="0.3">
      <c r="A26" s="40" t="s">
        <v>100</v>
      </c>
    </row>
    <row r="27" spans="1:1" x14ac:dyDescent="0.3">
      <c r="A27" s="43" t="s">
        <v>341</v>
      </c>
    </row>
    <row r="28" spans="1:1" x14ac:dyDescent="0.3">
      <c r="A28" s="40" t="s">
        <v>359</v>
      </c>
    </row>
    <row r="29" spans="1:1" x14ac:dyDescent="0.3">
      <c r="A29" s="40" t="s">
        <v>358</v>
      </c>
    </row>
    <row r="30" spans="1:1" x14ac:dyDescent="0.3">
      <c r="A30" s="40" t="s">
        <v>360</v>
      </c>
    </row>
    <row r="31" spans="1:1" x14ac:dyDescent="0.3">
      <c r="A31" s="4" t="s">
        <v>310</v>
      </c>
    </row>
    <row r="32" spans="1:1" x14ac:dyDescent="0.3">
      <c r="A32" s="7" t="s">
        <v>125</v>
      </c>
    </row>
    <row r="33" spans="1:1" x14ac:dyDescent="0.3">
      <c r="A33" s="7" t="s">
        <v>132</v>
      </c>
    </row>
    <row r="34" spans="1:1" x14ac:dyDescent="0.3">
      <c r="A34" s="115" t="s">
        <v>384</v>
      </c>
    </row>
    <row r="35" spans="1:1" x14ac:dyDescent="0.3">
      <c r="A35" s="4" t="s">
        <v>231</v>
      </c>
    </row>
    <row r="36" spans="1:1" x14ac:dyDescent="0.3">
      <c r="A36" s="7" t="s">
        <v>106</v>
      </c>
    </row>
    <row r="37" spans="1:1" x14ac:dyDescent="0.3">
      <c r="A37" s="24" t="s">
        <v>328</v>
      </c>
    </row>
    <row r="38" spans="1:1" x14ac:dyDescent="0.3">
      <c r="A38" s="5" t="s">
        <v>368</v>
      </c>
    </row>
    <row r="39" spans="1:1" x14ac:dyDescent="0.3">
      <c r="A39" s="7" t="s">
        <v>68</v>
      </c>
    </row>
    <row r="40" spans="1:1" x14ac:dyDescent="0.3">
      <c r="A40" s="5" t="s">
        <v>313</v>
      </c>
    </row>
    <row r="41" spans="1:1" x14ac:dyDescent="0.3">
      <c r="A41" s="4" t="s">
        <v>230</v>
      </c>
    </row>
    <row r="42" spans="1:1" x14ac:dyDescent="0.3">
      <c r="A42" s="5" t="s">
        <v>338</v>
      </c>
    </row>
    <row r="43" spans="1:1" x14ac:dyDescent="0.3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Петровых Оксана Сергеевна</cp:lastModifiedBy>
  <cp:lastPrinted>2025-09-03T12:21:33Z</cp:lastPrinted>
  <dcterms:created xsi:type="dcterms:W3CDTF">2025-01-29T06:40:08Z</dcterms:created>
  <dcterms:modified xsi:type="dcterms:W3CDTF">2025-11-06T14:00:26Z</dcterms:modified>
</cp:coreProperties>
</file>