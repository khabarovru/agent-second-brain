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7.Списание\ИИ\2025.10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32" i="9" l="1"/>
  <c r="H40" i="9" l="1"/>
  <c r="H38" i="9"/>
  <c r="H36" i="9"/>
  <c r="H34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<sst xmlns="http://schemas.openxmlformats.org/spreadsheetml/2006/main" count="736" uniqueCount="419">
  <si>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</si>
  <si>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</si>
  <si>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</si>
  <si>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</si>
  <si>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</si>
  <si>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</si>
  <si>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</si>
  <si>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</si>
  <si>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</si>
  <si>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</si>
  <si>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</si>
  <si>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</si>
  <si>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</si>
  <si>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</si>
  <si>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</si>
  <si>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</si>
  <si>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</si>
  <si>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</si>
  <si>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</si>
  <si>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</si>
  <si>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</si>
  <si>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</si>
  <si>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</si>
  <si>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</si>
  <si>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</si>
  <si>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</si>
  <si>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</si>
  <si>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</si>
  <si>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</si>
  <si>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</si>
  <si>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</si>
  <si>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</si>
  <si>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</si>
  <si>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</si>
  <si>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</si>
  <si>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</si>
  <si>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</si>
  <si>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</si>
  <si>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</si>
  <si>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</si>
  <si>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</si>
  <si>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</si>
  <si>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</si>
  <si>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</si>
  <si>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</si>
  <si>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</si>
  <si>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</si>
  <si>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</si>
  <si>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</si>
  <si>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</si>
  <si>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</si>
  <si>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</si>
  <si>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</si>
  <si>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</si>
  <si>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</si>
  <si>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</si>
  <si>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</si>
  <si>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</si>
  <si>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</si>
  <si>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</si>
  <si>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</si>
  <si>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</si>
  <si>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</si>
  <si>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</si>
  <si>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</si>
  <si>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</si>
  <si>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</si>
  <si>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</si>
  <si>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</si>
  <si>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</si>
  <si>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</si>
  <si>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</si>
  <si>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</si>
  <si>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</si>
  <si>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</si>
  <si>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</si>
  <si>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</si>
  <si>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</si>
  <si>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</si>
  <si>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</si>
  <si>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</si>
  <si>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</si>
  <si>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</si>
  <si>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</si>
  <si>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</si>
  <si>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</si>
  <si>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</si>
  <si>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</si>
  <si>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</si>
  <si>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</si>
  <si>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</si>
  <si>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</si>
  <si>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</si>
  <si>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</si>
  <si>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</si>
  <si>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</si>
  <si>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</si>
  <si>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</si>
  <si>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</si>
  <si>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</si>
  <si>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</si>
  <si>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</si>
  <si>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</si>
  <si>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</si>
  <si>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</si>
  <si>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</si>
  <si>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</si>
  <si>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</si>
  <si>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</si>
  <si>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</si>
  <si>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</si>
  <si>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</si>
  <si>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</si>
  <si>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</si>
  <si>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</si>
  <si>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</si>
  <si>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</si>
  <si>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</si>
  <si>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</si>
  <si>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</si>
  <si>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</si>
  <si>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</si>
  <si>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</si>
  <si>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</si>
  <si>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</si>
  <si>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</si>
  <si>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</si>
  <si>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</si>
  <si>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</si>
  <si>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</si>
  <si>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</si>
  <si>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</si>
  <si>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</si>
  <si>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</si>
  <si>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</si>
  <si>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</si>
  <si>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</si>
  <si>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</si>
  <si>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</si>
  <si>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</si>
  <si>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</si>
  <si>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</si>
  <si>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</si>
  <si>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</si>
  <si>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</si>
  <si>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</si>
  <si>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</si>
  <si>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</si>
  <si>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</si>
  <si>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</si>
  <si>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</si>
  <si>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</si>
  <si>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</si>
  <si>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</si>
  <si>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</si>
  <si>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</si>
  <si>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</si>
  <si>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</si>
  <si>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</si>
  <si>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</si>
  <si>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</si>
  <si>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</si>
  <si>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</si>
  <si>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</si>
  <si>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</si>
  <si>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</si>
  <si>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</si>
  <si>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</si>
  <si>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</si>
  <si>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</si>
  <si>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</si>
  <si>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</si>
  <si>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</si>
  <si>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</si>
  <si>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</si>
  <si>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</si>
  <si>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</si>
  <si>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</si>
  <si>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</si>
  <si>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</si>
  <si>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</si>
  <si>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</si>
  <si>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</si>
  <si>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</si>
  <si>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</si>
  <si>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</si>
  <si>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</si>
  <si>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</si>
  <si>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</si>
  <si>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</si>
  <si>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</si>
  <si>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</si>
  <si>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</si>
  <si>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</si>
  <si>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</si>
  <si>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</si>
  <si>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</si>
  <si>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</si>
  <si>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</si>
  <si>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</si>
  <si>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</si>
  <si>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</si>
  <si>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</si>
  <si>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</si>
  <si>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</si>
  <si>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</si>
  <si>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</si>
  <si>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</si>
  <si>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</si>
  <si>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</si>
  <si>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</si>
  <si>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</si>
  <si>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</si>
  <si>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</si>
  <si>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</si>
  <si>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</si>
  <si>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</si>
  <si>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</si>
  <si>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</si>
  <si>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</si>
  <si>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</si>
  <si>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</si>
  <si>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</si>
  <si>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</si>
  <si>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</si>
  <si>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</si>
  <si>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</si>
  <si>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</si>
  <si>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</si>
  <si>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</si>
  <si>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</si>
  <si>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</si>
  <si>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</si>
  <si>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</si>
  <si>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</si>
  <si>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</si>
  <si>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</si>
  <si>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</si>
  <si>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</si>
  <si>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</si>
  <si>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</si>
  <si>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</si>
  <si>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</si>
  <si>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</si>
  <si>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</si>
  <si>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</si>
  <si>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</si>
  <si>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</si>
  <si>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</si>
  <si>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</si>
  <si>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</si>
  <si>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</si>
  <si>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</si>
  <si>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</si>
  <si>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</si>
  <si>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</si>
  <si>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</si>
  <si>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</si>
  <si>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</si>
  <si>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</si>
  <si>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</si>
  <si>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</si>
  <si>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</si>
  <si>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</si>
  <si>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</si>
  <si>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</si>
  <si>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</si>
  <si>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</si>
  <si>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</si>
  <si>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</si>
  <si>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</si>
  <si>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</si>
  <si>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</si>
  <si>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</si>
  <si>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</si>
  <si>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</si>
  <si>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</si>
  <si>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</si>
  <si>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</si>
  <si>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</si>
  <si>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</si>
  <si>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</si>
  <si>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</si>
  <si>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</si>
  <si>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</si>
  <si>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</si>
  <si>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</si>
  <si>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</si>
  <si>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</si>
  <si>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</si>
  <si>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</si>
  <si>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</si>
  <si>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</si>
  <si>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</si>
  <si>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</si>
  <si>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</si>
  <si>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</si>
  <si>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</si>
  <si>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</si>
  <si>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</si>
  <si>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</si>
  <si>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</si>
  <si>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</si>
  <si>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</si>
  <si>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</si>
  <si>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</si>
  <si>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</si>
  <si>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</si>
  <si>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</si>
  <si>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</si>
  <si>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</si>
  <si>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</si>
  <si>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</si>
  <si>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</si>
  <si>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</si>
  <si>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</si>
  <si>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</si>
  <si>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</si>
  <si>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</si>
  <si>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</si>
  <si>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</si>
  <si>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</si>
  <si>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</si>
  <si>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</si>
  <si>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</si>
  <si>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</si>
  <si>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</si>
  <si>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</si>
  <si>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</si>
  <si>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</si>
  <si>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</si>
  <si>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</si>
  <si>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</si>
  <si>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</si>
  <si>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</si>
  <si>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</si>
  <si>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</si>
  <si>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</si>
  <si>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</si>
  <si>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</si>
  <si>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</si>
  <si>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</si>
  <si>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</si>
  <si>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</si>
  <si>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</si>
  <si>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</si>
  <si>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</si>
  <si>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</si>
  <si>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</si>
  <si>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</si>
  <si>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</si>
  <si>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</si>
  <si>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</si>
  <si>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</si>
  <si>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</si>
  <si>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</si>
  <si>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</si>
  <si>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</si>
  <si>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</si>
  <si>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</si>
  <si>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</si>
  <si>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</si>
  <si>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</si>
  <si>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</si>
  <si>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</si>
  <si>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</si>
  <si>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</si>
  <si>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</si>
  <si>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</si>
  <si>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</si>
  <si>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</si>
  <si>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</si>
  <si>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</si>
  <si>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</si>
  <si>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</si>
  <si>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</si>
  <si>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</si>
  <si>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</si>
  <si>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</si>
  <si>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</si>
  <si>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</si>
  <si>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</si>
  <si>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</si>
  <si>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</si>
  <si>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</si>
  <si>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</si>
  <si>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</si>
  <si>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</si>
  <si>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</si>
  <si>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</si>
  <si>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</si>
  <si>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</si>
  <si>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</si>
  <si>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</si>
  <si>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</si>
  <si>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</si>
  <si>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</si>
  <si>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</si>
  <si>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</si>
  <si>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</si>
  <si>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</si>
  <si>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</si>
  <si>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</si>
  <si>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</si>
  <si>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</si>
  <si>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</si>
  <si>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</si>
  <si>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</si>
  <si>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Аккумулятор Li-ion 18650 3400mAh 3,6(3,7)V с защитой 18.6х70мм</t>
  </si>
  <si>
    <t>Аккумулятор QBAT ICR14500-PCM 3.7V 1000mAh</t>
  </si>
  <si>
    <t>шт</t>
  </si>
  <si>
    <t xml:space="preserve">2204003 Материалы для ТО и ТР лифтов и эскалаторов </t>
  </si>
  <si>
    <t>Заявка на обеспечение II00-0000932 от 06.08.2025</t>
  </si>
  <si>
    <t>Техническое обслуживание лифтов</t>
  </si>
  <si>
    <t>Хабаров Д.Б.</t>
  </si>
  <si>
    <t>Боровик Г.В.</t>
  </si>
  <si>
    <t>Агеев В.А.</t>
  </si>
  <si>
    <t>Линев А.В.</t>
  </si>
  <si>
    <t>Летов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</si>
</sst>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1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0" fontId="18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top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abSelected="1" topLeftCell="A22" zoomScale="85" zoomScaleNormal="85" zoomScaleSheetLayoutView="115" workbookViewId="0">
      <selection activeCell="B23" sqref="B23"/>
    </sheetView>
  </sheetViews>
  <sheetFormatPr defaultColWidth="8.85546875" defaultRowHeight="18.75" x14ac:dyDescent="0.3"/>
  <cols>
    <col min="1" max="1" width="16.7109375" style="79" customWidth="1"/>
    <col min="2" max="2" width="49.140625" style="79" bestFit="1" customWidth="1"/>
    <col min="3" max="3" width="4" style="79" customWidth="1"/>
    <col min="4" max="4" width="5.85546875" style="79" customWidth="1"/>
    <col min="5" max="5" width="8.42578125" style="79" customWidth="1"/>
    <col min="6" max="6" width="37.5703125" style="79" customWidth="1"/>
    <col min="7" max="7" width="30.42578125" style="79" customWidth="1"/>
    <col min="8" max="8" width="28.28515625" style="79" customWidth="1"/>
    <col min="9" max="16384" width="8.85546875" style="79"/>
  </cols>
  <sheetData>
    <row r="1" spans="1:8" s="62" customFormat="1" ht="62.45" customHeight="1" thickBot="1" x14ac:dyDescent="0.4">
      <c r="A1" s="127" t="s">
        <v>364</v>
      </c>
      <c r="B1" s="127"/>
      <c r="C1" s="127"/>
      <c r="D1" s="127"/>
      <c r="E1" s="127"/>
      <c r="F1" s="127"/>
      <c r="G1" s="127"/>
      <c r="H1" s="127"/>
    </row>
    <row r="2" spans="1:8" s="62" customFormat="1" ht="13.9" customHeight="1" x14ac:dyDescent="0.35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35">
      <c r="A3" s="61"/>
      <c r="B3" s="65"/>
      <c r="C3" s="66"/>
      <c r="H3" s="67" t="s">
        <v>0</v>
      </c>
    </row>
    <row r="4" spans="1:8" s="62" customFormat="1" ht="21" x14ac:dyDescent="0.35">
      <c r="A4" s="61"/>
      <c r="B4" s="68"/>
      <c r="C4" s="66"/>
      <c r="H4" s="67" t="s">
        <v>1</v>
      </c>
    </row>
    <row r="5" spans="1:8" s="62" customFormat="1" ht="45" customHeight="1" x14ac:dyDescent="0.35">
      <c r="A5" s="61"/>
      <c r="B5" s="68"/>
      <c r="C5" s="66"/>
      <c r="H5" s="113" t="s">
        <v>2</v>
      </c>
    </row>
    <row r="6" spans="1:8" s="62" customFormat="1" ht="21" x14ac:dyDescent="0.35">
      <c r="A6" s="61"/>
      <c r="B6" s="63"/>
      <c r="C6" s="63"/>
      <c r="D6" s="63"/>
      <c r="E6" s="63"/>
      <c r="F6" s="63"/>
      <c r="G6" s="64"/>
      <c r="H6" s="63"/>
    </row>
    <row r="7" spans="1:8" s="62" customFormat="1" ht="23.25" x14ac:dyDescent="0.35">
      <c r="A7" s="61"/>
      <c r="B7" s="128" t="s">
        <v>375</v>
      </c>
      <c r="C7" s="128"/>
      <c r="D7" s="128"/>
      <c r="E7" s="128"/>
      <c r="F7" s="128"/>
      <c r="G7" s="128"/>
      <c r="H7" s="128"/>
    </row>
    <row r="8" spans="1:8" s="62" customFormat="1" ht="21" x14ac:dyDescent="0.35">
      <c r="A8" s="61"/>
      <c r="B8" s="129">
        <f ca="1">NOW()+0</f>
        <v>45967.780667476851</v>
      </c>
      <c r="C8" s="129"/>
      <c r="D8" s="129"/>
      <c r="E8" s="129"/>
      <c r="F8" s="129"/>
      <c r="G8" s="129"/>
      <c r="H8" s="129"/>
    </row>
    <row r="9" spans="1:8" s="62" customFormat="1" ht="21" x14ac:dyDescent="0.35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35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900000000000006" customHeight="1" x14ac:dyDescent="0.35">
      <c r="A11" s="120" t="s">
        <v>3</v>
      </c>
      <c r="B11" s="71"/>
      <c r="C11" s="126" t="str">
        <f>IF(H11&lt;&gt;0,(VLOOKUP(H11,Сотрудники!D:E,2,0)),0)</f>
        <v>Руководитель группы</v>
      </c>
      <c r="D11" s="126"/>
      <c r="E11" s="126"/>
      <c r="F11" s="126"/>
      <c r="G11" s="126"/>
      <c r="H11" s="72" t="s">
        <v>414</v>
      </c>
    </row>
    <row r="12" spans="1:8" s="62" customFormat="1" ht="21" x14ac:dyDescent="0.35">
      <c r="A12" s="73"/>
      <c r="B12" s="73"/>
      <c r="C12" s="124" t="s">
        <v>4</v>
      </c>
      <c r="D12" s="124"/>
      <c r="E12" s="124"/>
      <c r="F12" s="124"/>
      <c r="G12" s="130" t="s">
        <v>351</v>
      </c>
      <c r="H12" s="130"/>
    </row>
    <row r="13" spans="1:8" s="62" customFormat="1" ht="21" x14ac:dyDescent="0.35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900000000000006" customHeight="1" x14ac:dyDescent="0.35">
      <c r="A14" s="120" t="s">
        <v>6</v>
      </c>
      <c r="B14" s="71"/>
      <c r="C14" s="126" t="str">
        <f>IF(H14&lt;&gt;0,(VLOOKUP(H14,Сотрудники!D:E,2,0)),0)</f>
        <v>Ведущий инженер</v>
      </c>
      <c r="D14" s="126"/>
      <c r="E14" s="126"/>
      <c r="F14" s="126"/>
      <c r="G14" s="126"/>
      <c r="H14" s="72" t="s">
        <v>415</v>
      </c>
    </row>
    <row r="15" spans="1:8" s="62" customFormat="1" ht="21" x14ac:dyDescent="0.35">
      <c r="A15" s="61"/>
      <c r="B15" s="77"/>
      <c r="C15" s="124" t="s">
        <v>4</v>
      </c>
      <c r="D15" s="124"/>
      <c r="E15" s="124"/>
      <c r="F15" s="124"/>
      <c r="G15" s="125" t="s">
        <v>351</v>
      </c>
      <c r="H15" s="125"/>
    </row>
    <row r="16" spans="1:8" s="62" customFormat="1" ht="68.45" customHeight="1" x14ac:dyDescent="0.35">
      <c r="A16" s="120" t="s">
        <v>8</v>
      </c>
      <c r="B16" s="71"/>
      <c r="C16" s="126" t="str">
        <f>IF(H16&lt;&gt;0,(VLOOKUP(H16,Сотрудники!D:E,2,0)),0)</f>
        <v>Ведущий инженер</v>
      </c>
      <c r="D16" s="126"/>
      <c r="E16" s="126"/>
      <c r="F16" s="126"/>
      <c r="G16" s="126"/>
      <c r="H16" s="72" t="s">
        <v>416</v>
      </c>
    </row>
    <row r="17" spans="1:8" s="62" customFormat="1" ht="40.15" customHeight="1" x14ac:dyDescent="0.35">
      <c r="A17" s="61"/>
      <c r="B17" s="77"/>
      <c r="C17" s="124" t="s">
        <v>4</v>
      </c>
      <c r="D17" s="124"/>
      <c r="E17" s="124"/>
      <c r="F17" s="124"/>
      <c r="G17" s="125" t="s">
        <v>351</v>
      </c>
      <c r="H17" s="125"/>
    </row>
    <row r="18" spans="1:8" s="62" customFormat="1" ht="69.599999999999994" customHeight="1" x14ac:dyDescent="0.35">
      <c r="A18" s="61"/>
      <c r="B18" s="78"/>
      <c r="C18" s="126" t="str">
        <f>IF(H18&lt;&gt;0,(VLOOKUP(H18,Сотрудники!D:E,2,0)),0)</f>
        <v>Ведущий инженер</v>
      </c>
      <c r="D18" s="126"/>
      <c r="E18" s="126"/>
      <c r="F18" s="126"/>
      <c r="G18" s="126"/>
      <c r="H18" s="72" t="s">
        <v>417</v>
      </c>
    </row>
    <row r="19" spans="1:8" s="62" customFormat="1" ht="40.15" customHeight="1" x14ac:dyDescent="0.35">
      <c r="A19" s="61"/>
      <c r="B19" s="77"/>
      <c r="C19" s="124" t="s">
        <v>4</v>
      </c>
      <c r="D19" s="124"/>
      <c r="E19" s="124"/>
      <c r="F19" s="124"/>
      <c r="G19" s="125" t="s">
        <v>351</v>
      </c>
      <c r="H19" s="125"/>
    </row>
    <row r="20" spans="1:8" s="62" customFormat="1" ht="69.599999999999994" customHeight="1" x14ac:dyDescent="0.35">
      <c r="B20" s="77"/>
      <c r="C20" s="126" t="str">
        <f>IF(H20&lt;&gt;0,(VLOOKUP(H20,Сотрудники!D:E,2,0)),0)</f>
        <v>Главный специалист СБ</v>
      </c>
      <c r="D20" s="126"/>
      <c r="E20" s="126"/>
      <c r="F20" s="126"/>
      <c r="G20" s="126"/>
      <c r="H20" s="72" t="s">
        <v>418</v>
      </c>
    </row>
    <row r="21" spans="1:8" s="62" customFormat="1" ht="21" x14ac:dyDescent="0.35">
      <c r="B21" s="77"/>
      <c r="C21" s="124" t="s">
        <v>4</v>
      </c>
      <c r="D21" s="124"/>
      <c r="E21" s="124"/>
      <c r="F21" s="124"/>
      <c r="G21" s="125" t="s">
        <v>351</v>
      </c>
      <c r="H21" s="125"/>
    </row>
    <row r="22" spans="1:8" x14ac:dyDescent="0.3">
      <c r="B22" s="80"/>
      <c r="C22" s="81"/>
      <c r="D22" s="82"/>
      <c r="E22" s="82"/>
      <c r="F22" s="82"/>
      <c r="G22" s="83"/>
      <c r="H22" s="84"/>
    </row>
    <row r="23" spans="1:8" ht="20.25" x14ac:dyDescent="0.3">
      <c r="A23" s="111" t="s">
        <v>361</v>
      </c>
      <c r="B23" s="85" t="s">
        <v>251</v>
      </c>
      <c r="C23" s="86"/>
      <c r="D23" s="87"/>
      <c r="E23" s="87"/>
      <c r="F23" s="87"/>
      <c r="G23" s="88"/>
      <c r="H23" s="87"/>
    </row>
    <row r="24" spans="1:8" ht="20.25" x14ac:dyDescent="0.3">
      <c r="A24" s="111" t="s">
        <v>362</v>
      </c>
      <c r="B24" s="44" t="str">
        <f>IF(B23&lt;&gt;0,(VLOOKUP(B23,'Объекты '!A:B,2,0)),0)</f>
        <v>Эксплуатация и ТО_7807ДДУУК</v>
      </c>
      <c r="C24" s="86"/>
      <c r="D24" s="87"/>
      <c r="E24" s="87"/>
      <c r="F24" s="87"/>
      <c r="G24" s="88"/>
      <c r="H24" s="87"/>
    </row>
    <row r="25" spans="1:8" ht="20.25" x14ac:dyDescent="0.3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">
      <c r="A26" s="112" t="s">
        <v>374</v>
      </c>
      <c r="B26" s="117" t="str">
        <f>IF(H11&lt;&gt;0,(VLOOKUP(H11,Сотрудники!D:F,3,0)),0)</f>
        <v>Группа по эксплуатации лифтового оборудования и грузоподъемных механизмов</v>
      </c>
      <c r="C26" s="90"/>
      <c r="D26" s="90"/>
      <c r="E26" s="90"/>
      <c r="F26" s="90"/>
      <c r="G26" s="90"/>
      <c r="H26" s="90"/>
    </row>
    <row r="27" spans="1:8" x14ac:dyDescent="0.3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5" customHeight="1" x14ac:dyDescent="0.35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84" x14ac:dyDescent="0.25">
      <c r="A29" s="102">
        <v>1</v>
      </c>
      <c r="B29" s="122" t="s">
        <v>408</v>
      </c>
      <c r="C29" s="103"/>
      <c r="D29" s="118" t="s">
        <v>410</v>
      </c>
      <c r="E29" s="121">
        <v>100</v>
      </c>
      <c r="F29" s="122" t="s">
        <v>411</v>
      </c>
      <c r="G29" s="122" t="s">
        <v>412</v>
      </c>
      <c r="H29" s="116" t="s">
        <v>413</v>
      </c>
    </row>
    <row r="30" spans="1:8" s="101" customFormat="1" ht="84" x14ac:dyDescent="0.25">
      <c r="A30" s="102">
        <v>2</v>
      </c>
      <c r="B30" s="122" t="s">
        <v>409</v>
      </c>
      <c r="C30" s="103"/>
      <c r="D30" s="118" t="s">
        <v>410</v>
      </c>
      <c r="E30" s="121">
        <v>100</v>
      </c>
      <c r="F30" s="122" t="s">
        <v>411</v>
      </c>
      <c r="G30" s="122" t="s">
        <v>412</v>
      </c>
      <c r="H30" s="116" t="s">
        <v>413</v>
      </c>
    </row>
    <row r="31" spans="1:8" s="62" customFormat="1" ht="21" x14ac:dyDescent="0.35">
      <c r="B31" s="104"/>
      <c r="C31" s="104"/>
      <c r="D31" s="104"/>
      <c r="E31" s="104"/>
      <c r="F31" s="104"/>
      <c r="G31" s="104"/>
      <c r="H31" s="104"/>
    </row>
    <row r="32" spans="1:8" s="62" customFormat="1" ht="25.9" customHeight="1" x14ac:dyDescent="0.35">
      <c r="B32" s="71" t="s">
        <v>6</v>
      </c>
      <c r="C32" s="105"/>
      <c r="D32" s="105"/>
      <c r="E32" s="105"/>
      <c r="F32" s="105"/>
      <c r="G32" s="106"/>
      <c r="H32" s="59" t="str">
        <f>H14</f>
        <v>Боровик Г.В.</v>
      </c>
    </row>
    <row r="33" spans="2:8" s="62" customFormat="1" ht="25.9" customHeight="1" x14ac:dyDescent="0.35">
      <c r="B33" s="107"/>
      <c r="C33" s="108"/>
      <c r="D33" s="108"/>
      <c r="E33" s="108"/>
      <c r="F33" s="109"/>
      <c r="G33" s="123" t="s">
        <v>349</v>
      </c>
      <c r="H33" s="123"/>
    </row>
    <row r="34" spans="2:8" s="62" customFormat="1" ht="25.9" customHeight="1" x14ac:dyDescent="0.35">
      <c r="B34" s="71" t="s">
        <v>8</v>
      </c>
      <c r="C34" s="105"/>
      <c r="D34" s="105"/>
      <c r="E34" s="105"/>
      <c r="F34" s="105"/>
      <c r="G34" s="106"/>
      <c r="H34" s="59" t="str">
        <f>H16</f>
        <v>Агеев В.А.</v>
      </c>
    </row>
    <row r="35" spans="2:8" s="62" customFormat="1" ht="25.9" customHeight="1" x14ac:dyDescent="0.35">
      <c r="B35" s="77"/>
      <c r="C35" s="108"/>
      <c r="D35" s="108"/>
      <c r="E35" s="108"/>
      <c r="F35" s="109"/>
      <c r="G35" s="123" t="s">
        <v>349</v>
      </c>
      <c r="H35" s="123"/>
    </row>
    <row r="36" spans="2:8" s="62" customFormat="1" ht="25.9" customHeight="1" x14ac:dyDescent="0.35">
      <c r="B36" s="78"/>
      <c r="C36" s="105"/>
      <c r="D36" s="105"/>
      <c r="E36" s="105"/>
      <c r="F36" s="105"/>
      <c r="G36" s="106"/>
      <c r="H36" s="59" t="str">
        <f>H18</f>
        <v>Линев А.В.</v>
      </c>
    </row>
    <row r="37" spans="2:8" s="62" customFormat="1" ht="25.9" customHeight="1" x14ac:dyDescent="0.35">
      <c r="B37" s="77"/>
      <c r="C37" s="108"/>
      <c r="D37" s="108"/>
      <c r="E37" s="108"/>
      <c r="F37" s="109"/>
      <c r="G37" s="123" t="s">
        <v>349</v>
      </c>
      <c r="H37" s="123"/>
    </row>
    <row r="38" spans="2:8" s="62" customFormat="1" ht="25.9" customHeight="1" x14ac:dyDescent="0.35">
      <c r="B38" s="77"/>
      <c r="C38" s="105"/>
      <c r="D38" s="105"/>
      <c r="E38" s="105"/>
      <c r="F38" s="105"/>
      <c r="G38" s="106"/>
      <c r="H38" s="59" t="str">
        <f>H20</f>
        <v>Летов А.К.</v>
      </c>
    </row>
    <row r="39" spans="2:8" s="62" customFormat="1" ht="25.9" customHeight="1" x14ac:dyDescent="0.35">
      <c r="B39" s="77"/>
      <c r="C39" s="108"/>
      <c r="D39" s="108"/>
      <c r="E39" s="108"/>
      <c r="F39" s="109"/>
      <c r="G39" s="123" t="s">
        <v>349</v>
      </c>
      <c r="H39" s="123"/>
    </row>
    <row r="40" spans="2:8" s="62" customFormat="1" ht="25.9" customHeight="1" x14ac:dyDescent="0.35">
      <c r="B40" s="71" t="s">
        <v>3</v>
      </c>
      <c r="C40" s="105"/>
      <c r="D40" s="105"/>
      <c r="E40" s="105"/>
      <c r="F40" s="105"/>
      <c r="G40" s="106"/>
      <c r="H40" s="60" t="str">
        <f>H11</f>
        <v>Хабаров Д.Б.</v>
      </c>
    </row>
    <row r="41" spans="2:8" s="62" customFormat="1" ht="21" x14ac:dyDescent="0.35">
      <c r="B41" s="73"/>
      <c r="C41" s="108"/>
      <c r="D41" s="108"/>
      <c r="E41" s="108"/>
      <c r="F41" s="109"/>
      <c r="G41" s="123" t="s">
        <v>349</v>
      </c>
      <c r="H41" s="123"/>
    </row>
  </sheetData>
  <sheetProtection selectLockedCells="1" selectUnlockedCells="1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1:H41"/>
    <mergeCell ref="G33:H33"/>
    <mergeCell ref="G35:H35"/>
    <mergeCell ref="G37:H37"/>
    <mergeCell ref="G39:H39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119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115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2025-11-06T15:44:14Z</dcterms:modified>
</cp:coreProperties>
</file>