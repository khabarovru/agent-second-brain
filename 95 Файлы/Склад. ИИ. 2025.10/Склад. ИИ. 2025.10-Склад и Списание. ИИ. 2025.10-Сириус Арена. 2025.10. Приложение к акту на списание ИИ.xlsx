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27.Списание\ИИ\2025.10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АКТУ'!$A$1:$H$40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9" l="1"/>
  <c r="D54" i="5" l="1"/>
  <c r="D64" i="5"/>
  <c r="D62" i="5"/>
  <c r="D77" i="5" l="1"/>
  <c r="C14" i="9" l="1"/>
  <c r="D127" i="5" l="1"/>
  <c r="D52" i="5"/>
  <c r="D51" i="5" l="1"/>
  <c r="B24" i="9" l="1"/>
  <c r="D10" i="5" l="1"/>
  <c r="D122" i="5" l="1"/>
  <c r="D29" i="5" l="1"/>
  <c r="D123" i="5" l="1"/>
  <c r="D25" i="5"/>
  <c r="D14" i="5" l="1"/>
  <c r="D140" i="5" l="1"/>
  <c r="D112" i="5" l="1"/>
  <c r="D19" i="5" l="1"/>
  <c r="D48" i="5"/>
  <c r="D43" i="5" l="1"/>
  <c r="D129" i="5"/>
  <c r="H31" i="9" l="1"/>
  <c r="H39" i="9" l="1"/>
  <c r="H37" i="9"/>
  <c r="H35" i="9"/>
  <c r="H33" i="9"/>
  <c r="D60" i="5" l="1"/>
  <c r="D72" i="5" l="1"/>
  <c r="D106" i="5"/>
  <c r="D131" i="5"/>
  <c r="D31" i="5"/>
  <c r="D121" i="5"/>
  <c r="D75" i="5"/>
  <c r="D102" i="5"/>
  <c r="D117" i="5"/>
  <c r="D118" i="5"/>
  <c r="D97" i="5"/>
  <c r="D66" i="5"/>
  <c r="D65" i="5"/>
  <c r="D57" i="5"/>
  <c r="D87" i="5"/>
  <c r="D88" i="5"/>
  <c r="D109" i="5"/>
  <c r="D76" i="5"/>
  <c r="D20" i="5"/>
  <c r="D94" i="5"/>
  <c r="D119" i="5"/>
  <c r="D105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8" i="5"/>
  <c r="D59" i="5"/>
  <c r="D61" i="5"/>
  <c r="D63" i="5"/>
  <c r="D67" i="5"/>
  <c r="D68" i="5"/>
  <c r="D69" i="5"/>
  <c r="D70" i="5"/>
  <c r="D71" i="5"/>
  <c r="D74" i="5"/>
  <c r="D79" i="5"/>
  <c r="D81" i="5"/>
  <c r="D82" i="5"/>
  <c r="D83" i="5"/>
  <c r="D84" i="5"/>
  <c r="D89" i="5"/>
  <c r="D90" i="5"/>
  <c r="D92" i="5"/>
  <c r="D93" i="5"/>
  <c r="D96" i="5"/>
  <c r="D98" i="5"/>
  <c r="D99" i="5"/>
  <c r="D100" i="5"/>
  <c r="D101" i="5"/>
  <c r="D103" i="5"/>
  <c r="D104" i="5"/>
  <c r="D107" i="5"/>
  <c r="D108" i="5"/>
  <c r="D110" i="5"/>
  <c r="D113" i="5"/>
  <c r="D114" i="5"/>
  <c r="D115" i="5"/>
  <c r="D116" i="5"/>
  <c r="D120" i="5"/>
  <c r="D125" i="5"/>
  <c r="D126" i="5"/>
  <c r="D128" i="5"/>
  <c r="D132" i="5"/>
  <c r="D133" i="5"/>
  <c r="D134" i="5"/>
  <c r="D135" i="5"/>
  <c r="D136" i="5"/>
  <c r="D137" i="5"/>
  <c r="D138" i="5"/>
  <c r="D5" i="5"/>
  <c r="D50" i="5"/>
  <c r="D95" i="5"/>
  <c r="D9" i="5"/>
  <c r="D130" i="5"/>
  <c r="D78" i="5"/>
  <c r="D73" i="5"/>
  <c r="D53" i="5"/>
  <c r="D80" i="5"/>
  <c r="D139" i="5"/>
  <c r="D91" i="5"/>
  <c r="D124" i="5"/>
  <c r="D2" i="5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<sst xmlns="http://schemas.openxmlformats.org/spreadsheetml/2006/main" count="731" uniqueCount="418">
  <si>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</si>
  <si>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</si>
  <si>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</si>
  <si>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</si>
  <si>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</si>
  <si>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</si>
  <si>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</si>
  <si>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</si>
  <si>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</si>
  <si>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</si>
  <si>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</si>
  <si>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</si>
  <si>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</si>
  <si>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</si>
  <si>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</si>
  <si>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</si>
  <si>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</si>
  <si>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</si>
  <si>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</si>
  <si>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</si>
  <si>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</si>
  <si>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</si>
  <si>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</si>
  <si>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</si>
  <si>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</si>
  <si>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</si>
  <si>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</si>
  <si>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</si>
  <si>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</si>
  <si>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</si>
  <si>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</si>
  <si>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</si>
  <si>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</si>
  <si>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</si>
  <si>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</si>
  <si>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</si>
  <si>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</si>
  <si>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</si>
  <si>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</si>
  <si>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</si>
  <si>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</si>
  <si>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</si>
  <si>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</si>
  <si>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</si>
  <si>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</si>
  <si>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</si>
  <si>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</si>
  <si>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</si>
  <si>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</si>
  <si>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</si>
  <si>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</si>
  <si>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</si>
  <si>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</si>
  <si>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</si>
  <si>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</si>
  <si>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</si>
  <si>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</si>
  <si>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</si>
  <si>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</si>
  <si>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</si>
  <si>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</si>
  <si>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</si>
  <si>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</si>
  <si>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</si>
  <si>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</si>
  <si>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</si>
  <si>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</si>
  <si>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</si>
  <si>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</si>
  <si>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</si>
  <si>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</si>
  <si>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</si>
  <si>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</si>
  <si>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</si>
  <si>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</si>
  <si>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</si>
  <si>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</si>
  <si>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</si>
  <si>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</si>
  <si>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</si>
  <si>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</si>
  <si>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</si>
  <si>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</si>
  <si>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</si>
  <si>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</si>
  <si>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</si>
  <si>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</si>
  <si>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</si>
  <si>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</si>
  <si>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</si>
  <si>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</si>
  <si>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</si>
  <si>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</si>
  <si>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</si>
  <si>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</si>
  <si>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</si>
  <si>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</si>
  <si>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</si>
  <si>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</si>
  <si>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</si>
  <si>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</si>
  <si>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</si>
  <si>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</si>
  <si>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</si>
  <si>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</si>
  <si>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</si>
  <si>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</si>
  <si>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</si>
  <si>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</si>
  <si>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</si>
  <si>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</si>
  <si>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</si>
  <si>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</si>
  <si>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</si>
  <si>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</si>
  <si>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</si>
  <si>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</si>
  <si>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</si>
  <si>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</si>
  <si>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</si>
  <si>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</si>
  <si>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</si>
  <si>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</si>
  <si>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</si>
  <si>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</si>
  <si>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</si>
  <si>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</si>
  <si>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</si>
  <si>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</si>
  <si>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</si>
  <si>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</si>
  <si>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</si>
  <si>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</si>
  <si>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</si>
  <si>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</si>
  <si>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</si>
  <si>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</si>
  <si>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</si>
  <si>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</si>
  <si>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</si>
  <si>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</si>
  <si>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</si>
  <si>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</si>
  <si>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</si>
  <si>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</si>
  <si>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</si>
  <si>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</si>
  <si>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</si>
  <si>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</si>
  <si>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</si>
  <si>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</si>
  <si>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</si>
  <si>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</si>
  <si>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</si>
  <si>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</si>
  <si>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</si>
  <si>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</si>
  <si>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</si>
  <si>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</si>
  <si>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</si>
  <si>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</si>
  <si>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</si>
  <si>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</si>
  <si>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</si>
  <si>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</si>
  <si>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</si>
  <si>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</si>
  <si>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</si>
  <si>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</si>
  <si>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</si>
  <si>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</si>
  <si>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</si>
  <si>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</si>
  <si>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</si>
  <si>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</si>
  <si>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</si>
  <si>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</si>
  <si>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</si>
  <si>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</si>
  <si>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</si>
  <si>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</si>
  <si>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</si>
  <si>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</si>
  <si>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</si>
  <si>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</si>
  <si>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</si>
  <si>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</si>
  <si>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</si>
  <si>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</si>
  <si>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</si>
  <si>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</si>
  <si>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</si>
  <si>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</si>
  <si>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</si>
  <si>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</si>
  <si>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</si>
  <si>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</si>
  <si>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</si>
  <si>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</si>
  <si>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</si>
  <si>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</si>
  <si>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</si>
  <si>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</si>
  <si>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</si>
  <si>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</si>
  <si>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</si>
  <si>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</si>
  <si>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</si>
  <si>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</si>
  <si>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</si>
  <si>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</si>
  <si>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</si>
  <si>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</si>
  <si>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</si>
  <si>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</si>
  <si>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</si>
  <si>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</si>
  <si>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</si>
  <si>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</si>
  <si>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</si>
  <si>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</si>
  <si>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</si>
  <si>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</si>
  <si>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</si>
  <si>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</si>
  <si>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</si>
  <si>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</si>
  <si>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</si>
  <si>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</si>
  <si>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</si>
  <si>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</si>
  <si>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</si>
  <si>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</si>
  <si>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</si>
  <si>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</si>
  <si>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</si>
  <si>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</si>
  <si>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</si>
  <si>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</si>
  <si>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</si>
  <si>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</si>
  <si>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</si>
  <si>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</si>
  <si>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</si>
  <si>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</si>
  <si>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</si>
  <si>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</si>
  <si>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</si>
  <si>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</si>
  <si>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</si>
  <si>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</si>
  <si>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</si>
  <si>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</si>
  <si>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</si>
  <si>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</si>
  <si>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</si>
  <si>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</si>
  <si>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</si>
  <si>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</si>
  <si>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</si>
  <si>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</si>
  <si>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</si>
  <si>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</si>
  <si>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</si>
  <si>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</si>
  <si>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</si>
  <si>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</si>
  <si>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</si>
  <si>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</si>
  <si>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</si>
  <si>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</si>
  <si>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</si>
  <si>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</si>
  <si>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</si>
  <si>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</si>
  <si>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</si>
  <si>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</si>
  <si>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</si>
  <si>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</si>
  <si>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</si>
  <si>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</si>
  <si>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</si>
  <si>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</si>
  <si>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</si>
  <si>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</si>
  <si>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</si>
  <si>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</si>
  <si>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</si>
  <si>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</si>
  <si>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</si>
  <si>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</si>
  <si>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</si>
  <si>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</si>
  <si>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</si>
  <si>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</si>
  <si>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</si>
  <si>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</si>
  <si>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</si>
  <si>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</si>
  <si>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</si>
  <si>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</si>
  <si>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</si>
  <si>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</si>
  <si>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</si>
  <si>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</si>
  <si>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</si>
  <si>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</si>
  <si>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</si>
  <si>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</si>
  <si>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</si>
  <si>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</si>
  <si>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</si>
  <si>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</si>
  <si>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</si>
  <si>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</si>
  <si>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</si>
  <si>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</si>
  <si>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</si>
  <si>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</si>
  <si>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</si>
  <si>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</si>
  <si>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</si>
  <si>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</si>
  <si>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</si>
  <si>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</si>
  <si>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</si>
  <si>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</si>
  <si>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</si>
  <si>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</si>
  <si>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</si>
  <si>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</si>
  <si>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</si>
  <si>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</si>
  <si>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</si>
  <si>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</si>
  <si>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</si>
  <si>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</si>
  <si>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</si>
  <si>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</si>
  <si>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</si>
  <si>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</si>
  <si>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</si>
  <si>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</si>
  <si>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</si>
  <si>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</si>
  <si>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</si>
  <si>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</si>
  <si>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</si>
  <si>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</si>
  <si>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</si>
  <si>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</si>
  <si>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</si>
  <si>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</si>
  <si>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</si>
  <si>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</si>
  <si>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</si>
  <si>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</si>
  <si>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</si>
  <si>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</si>
  <si>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</si>
  <si>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</si>
  <si>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</si>
  <si>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</si>
  <si>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</si>
  <si>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</si>
  <si>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</si>
  <si>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</si>
  <si>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</si>
  <si>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</si>
  <si>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</si>
  <si>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</si>
  <si>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</si>
  <si>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</si>
  <si>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</si>
  <si>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</si>
  <si>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</si>
  <si>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</si>
  <si>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</si>
  <si>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</si>
  <si>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</si>
  <si>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</si>
  <si>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</si>
  <si>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</si>
  <si>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</si>
  <si>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</si>
  <si>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</si>
  <si>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</si>
  <si>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</si>
  <si>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</si>
  <si>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</si>
  <si>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</si>
  <si>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</si>
  <si>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</si>
  <si>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</si>
  <si>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</si>
  <si>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</si>
  <si>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</si>
  <si>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</si>
  <si>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</si>
  <si>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</si>
  <si>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</si>
  <si>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</si>
  <si>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</si>
  <si>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</si>
  <si>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</si>
  <si>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</si>
  <si>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</si>
  <si>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</si>
  <si>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Хабаров Д.Б.</t>
  </si>
  <si>
    <t>Семидалов Ю.С.</t>
  </si>
  <si>
    <t>Агеев В.А.</t>
  </si>
  <si>
    <t>Линев А.В.</t>
  </si>
  <si>
    <t>Антимонов В.С.</t>
  </si>
  <si>
    <t>Плата GECB-EN GCA26800LC6</t>
  </si>
  <si>
    <t>шт</t>
  </si>
  <si>
    <t xml:space="preserve">2204003 Материалы для ТО и ТР лифтов и эскалаторов </t>
  </si>
  <si>
    <t>Заявка на обеспечение II00-0000952 от 13.08.2025</t>
  </si>
  <si>
    <t>Акт установки №202510СА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</si>
</sst>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1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Border="1" applyProtection="1">
      <protection hidden="1"/>
    </xf>
    <xf numFmtId="0" fontId="18" fillId="0" borderId="0" xfId="0" applyFont="1" applyProtection="1">
      <protection hidden="1"/>
    </xf>
    <xf numFmtId="0" fontId="21" fillId="0" borderId="0" xfId="0" applyFont="1" applyFill="1" applyAlignment="1" applyProtection="1">
      <alignment horizontal="left" indent="1"/>
      <protection hidden="1"/>
    </xf>
    <xf numFmtId="1" fontId="21" fillId="0" borderId="0" xfId="0" applyNumberFormat="1" applyFont="1" applyFill="1" applyAlignment="1" applyProtection="1">
      <alignment horizontal="left" indent="1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21" fillId="0" borderId="0" xfId="0" applyFont="1" applyFill="1" applyAlignment="1" applyProtection="1">
      <alignment horizontal="left" vertical="center" indent="1"/>
      <protection hidden="1"/>
    </xf>
    <xf numFmtId="0" fontId="17" fillId="0" borderId="0" xfId="0" applyFont="1" applyFill="1" applyAlignment="1" applyProtection="1">
      <alignment horizontal="right" vertical="center" indent="1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17" fillId="0" borderId="0" xfId="0" applyFont="1" applyFill="1" applyAlignment="1" applyProtection="1">
      <alignment horizontal="center"/>
      <protection hidden="1"/>
    </xf>
    <xf numFmtId="1" fontId="17" fillId="0" borderId="0" xfId="0" applyNumberFormat="1" applyFont="1" applyFill="1" applyAlignment="1" applyProtection="1">
      <alignment horizontal="center"/>
      <protection hidden="1"/>
    </xf>
    <xf numFmtId="0" fontId="19" fillId="0" borderId="0" xfId="0" applyFont="1" applyAlignment="1" applyProtection="1">
      <protection hidden="1"/>
    </xf>
    <xf numFmtId="0" fontId="19" fillId="0" borderId="2" xfId="0" applyFont="1" applyBorder="1" applyAlignment="1" applyProtection="1">
      <alignment horizontal="right" vertical="top"/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17" fillId="0" borderId="0" xfId="0" applyFont="1" applyFill="1" applyAlignment="1" applyProtection="1">
      <protection hidden="1"/>
    </xf>
    <xf numFmtId="0" fontId="21" fillId="0" borderId="0" xfId="0" applyFont="1" applyFill="1" applyAlignment="1" applyProtection="1">
      <alignment horizontal="center"/>
      <protection hidden="1"/>
    </xf>
    <xf numFmtId="1" fontId="21" fillId="0" borderId="0" xfId="0" applyNumberFormat="1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14" fillId="0" borderId="0" xfId="0" applyFont="1" applyProtection="1"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49" fontId="25" fillId="0" borderId="2" xfId="0" applyNumberFormat="1" applyFont="1" applyFill="1" applyBorder="1" applyAlignment="1" applyProtection="1">
      <alignment horizontal="left" vertical="top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14" fillId="0" borderId="0" xfId="0" applyFont="1" applyFill="1" applyProtection="1">
      <protection hidden="1"/>
    </xf>
    <xf numFmtId="1" fontId="14" fillId="0" borderId="0" xfId="0" applyNumberFormat="1" applyFont="1" applyFill="1" applyProtection="1">
      <protection hidden="1"/>
    </xf>
    <xf numFmtId="0" fontId="25" fillId="0" borderId="3" xfId="0" applyFont="1" applyFill="1" applyBorder="1" applyAlignment="1" applyProtection="1">
      <alignment horizontal="left" vertical="top"/>
      <protection hidden="1"/>
    </xf>
    <xf numFmtId="0" fontId="15" fillId="0" borderId="0" xfId="0" applyFont="1" applyBorder="1" applyAlignment="1" applyProtection="1">
      <alignment wrapText="1"/>
      <protection hidden="1"/>
    </xf>
    <xf numFmtId="0" fontId="14" fillId="0" borderId="0" xfId="0" applyFont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4" fillId="0" borderId="0" xfId="0" applyFont="1" applyFill="1" applyBorder="1" applyAlignment="1" applyProtection="1">
      <alignment horizontal="left" indent="1"/>
      <protection hidden="1"/>
    </xf>
    <xf numFmtId="0" fontId="4" fillId="0" borderId="0" xfId="0" applyFont="1" applyFill="1" applyAlignment="1" applyProtection="1">
      <alignment horizontal="left" indent="1"/>
      <protection hidden="1"/>
    </xf>
    <xf numFmtId="1" fontId="4" fillId="0" borderId="0" xfId="0" applyNumberFormat="1" applyFont="1" applyFill="1" applyAlignment="1" applyProtection="1">
      <alignment horizontal="left" indent="1"/>
      <protection hidden="1"/>
    </xf>
    <xf numFmtId="0" fontId="18" fillId="0" borderId="0" xfId="0" applyFont="1" applyAlignment="1" applyProtection="1">
      <alignment horizontal="center"/>
      <protection hidden="1"/>
    </xf>
    <xf numFmtId="0" fontId="25" fillId="0" borderId="8" xfId="0" applyFont="1" applyFill="1" applyBorder="1" applyAlignment="1" applyProtection="1">
      <alignment horizontal="center" vertical="center" wrapText="1"/>
      <protection hidden="1"/>
    </xf>
    <xf numFmtId="0" fontId="7" fillId="0" borderId="4" xfId="0" applyFont="1" applyFill="1" applyBorder="1" applyAlignment="1" applyProtection="1">
      <alignment horizontal="center" vertical="center" textRotation="90" wrapText="1"/>
      <protection hidden="1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hidden="1"/>
    </xf>
    <xf numFmtId="0" fontId="25" fillId="0" borderId="4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top" wrapText="1"/>
      <protection hidden="1"/>
    </xf>
    <xf numFmtId="0" fontId="21" fillId="0" borderId="4" xfId="0" applyFont="1" applyFill="1" applyBorder="1" applyAlignment="1" applyProtection="1">
      <alignment horizontal="center" vertical="center" wrapText="1"/>
      <protection hidden="1"/>
    </xf>
    <xf numFmtId="0" fontId="16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Alignment="1" applyProtection="1">
      <alignment vertical="center" wrapTex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protection hidden="1"/>
    </xf>
    <xf numFmtId="0" fontId="27" fillId="0" borderId="0" xfId="0" applyFont="1" applyFill="1" applyBorder="1" applyAlignment="1" applyProtection="1">
      <alignment vertical="top"/>
      <protection hidden="1"/>
    </xf>
    <xf numFmtId="0" fontId="17" fillId="0" borderId="0" xfId="0" applyFont="1" applyFill="1" applyAlignment="1" applyProtection="1">
      <alignment horizontal="right" indent="1"/>
      <protection hidden="1"/>
    </xf>
    <xf numFmtId="0" fontId="17" fillId="0" borderId="4" xfId="0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Border="1" applyAlignment="1">
      <alignment vertical="top"/>
    </xf>
    <xf numFmtId="0" fontId="20" fillId="0" borderId="4" xfId="0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Alignment="1" applyProtection="1">
      <alignment horizontal="left" vertical="top"/>
      <protection hidden="1"/>
    </xf>
    <xf numFmtId="1" fontId="20" fillId="0" borderId="4" xfId="0" applyNumberFormat="1" applyFont="1" applyBorder="1" applyAlignment="1" applyProtection="1">
      <alignment horizontal="center" vertical="center" wrapText="1"/>
      <protection hidden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2" fillId="2" borderId="4" xfId="0" applyFont="1" applyFill="1" applyBorder="1" applyAlignment="1">
      <alignment wrapText="1"/>
    </xf>
    <xf numFmtId="0" fontId="19" fillId="0" borderId="0" xfId="0" applyFont="1" applyAlignment="1" applyProtection="1">
      <alignment vertical="top"/>
      <protection hidden="1"/>
    </xf>
    <xf numFmtId="0" fontId="16" fillId="0" borderId="0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0" borderId="0" xfId="0" applyFont="1" applyBorder="1" applyAlignment="1" applyProtection="1">
      <alignment horizontal="center" vertical="top"/>
      <protection hidden="1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hidden="1"/>
    </xf>
    <xf numFmtId="0" fontId="23" fillId="0" borderId="0" xfId="0" applyFont="1" applyFill="1" applyAlignment="1" applyProtection="1">
      <alignment horizont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16" fillId="0" borderId="12" xfId="0" applyFont="1" applyBorder="1" applyAlignment="1" applyProtection="1">
      <alignment horizontal="center" vertical="top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tabSelected="1" topLeftCell="A19" zoomScale="85" zoomScaleNormal="85" zoomScaleSheetLayoutView="115" workbookViewId="0">
      <selection activeCell="H29" sqref="H29"/>
    </sheetView>
  </sheetViews>
  <sheetFormatPr defaultColWidth="8.85546875" defaultRowHeight="18.75" x14ac:dyDescent="0.3"/>
  <cols>
    <col min="1" max="1" width="16.7109375" style="79" customWidth="1"/>
    <col min="2" max="2" width="49.140625" style="79" bestFit="1" customWidth="1"/>
    <col min="3" max="3" width="4" style="79" customWidth="1"/>
    <col min="4" max="4" width="5.85546875" style="79" customWidth="1"/>
    <col min="5" max="5" width="8.42578125" style="79" customWidth="1"/>
    <col min="6" max="6" width="37.5703125" style="79" customWidth="1"/>
    <col min="7" max="7" width="30.42578125" style="79" customWidth="1"/>
    <col min="8" max="8" width="28.28515625" style="79" customWidth="1"/>
    <col min="9" max="16384" width="8.85546875" style="79"/>
  </cols>
  <sheetData>
    <row r="1" spans="1:8" s="62" customFormat="1" ht="62.45" customHeight="1" thickBot="1" x14ac:dyDescent="0.4">
      <c r="A1" s="127" t="s">
        <v>364</v>
      </c>
      <c r="B1" s="127"/>
      <c r="C1" s="127"/>
      <c r="D1" s="127"/>
      <c r="E1" s="127"/>
      <c r="F1" s="127"/>
      <c r="G1" s="127"/>
      <c r="H1" s="127"/>
    </row>
    <row r="2" spans="1:8" s="62" customFormat="1" ht="13.9" customHeight="1" x14ac:dyDescent="0.35">
      <c r="A2" s="61"/>
      <c r="B2" s="63"/>
      <c r="C2" s="63"/>
      <c r="D2" s="63"/>
      <c r="E2" s="63"/>
      <c r="F2" s="63"/>
      <c r="G2" s="64"/>
      <c r="H2" s="63"/>
    </row>
    <row r="3" spans="1:8" s="62" customFormat="1" ht="21" x14ac:dyDescent="0.35">
      <c r="A3" s="61"/>
      <c r="B3" s="65"/>
      <c r="C3" s="66"/>
      <c r="H3" s="67" t="s">
        <v>0</v>
      </c>
    </row>
    <row r="4" spans="1:8" s="62" customFormat="1" ht="21" x14ac:dyDescent="0.35">
      <c r="A4" s="61"/>
      <c r="B4" s="68"/>
      <c r="C4" s="66"/>
      <c r="H4" s="67" t="s">
        <v>1</v>
      </c>
    </row>
    <row r="5" spans="1:8" s="62" customFormat="1" ht="45" customHeight="1" x14ac:dyDescent="0.35">
      <c r="A5" s="61"/>
      <c r="B5" s="68"/>
      <c r="C5" s="66"/>
      <c r="H5" s="113" t="s">
        <v>2</v>
      </c>
    </row>
    <row r="6" spans="1:8" s="62" customFormat="1" ht="21" x14ac:dyDescent="0.35">
      <c r="A6" s="61"/>
      <c r="B6" s="63"/>
      <c r="C6" s="63"/>
      <c r="D6" s="63"/>
      <c r="E6" s="63"/>
      <c r="F6" s="63"/>
      <c r="G6" s="64"/>
      <c r="H6" s="63"/>
    </row>
    <row r="7" spans="1:8" s="62" customFormat="1" ht="23.25" x14ac:dyDescent="0.35">
      <c r="A7" s="61"/>
      <c r="B7" s="128" t="s">
        <v>375</v>
      </c>
      <c r="C7" s="128"/>
      <c r="D7" s="128"/>
      <c r="E7" s="128"/>
      <c r="F7" s="128"/>
      <c r="G7" s="128"/>
      <c r="H7" s="128"/>
    </row>
    <row r="8" spans="1:8" s="62" customFormat="1" ht="21" x14ac:dyDescent="0.35">
      <c r="A8" s="61"/>
      <c r="B8" s="129">
        <f ca="1">NOW()+0</f>
        <v>45967.781762384257</v>
      </c>
      <c r="C8" s="129"/>
      <c r="D8" s="129"/>
      <c r="E8" s="129"/>
      <c r="F8" s="129"/>
      <c r="G8" s="129"/>
      <c r="H8" s="129"/>
    </row>
    <row r="9" spans="1:8" s="62" customFormat="1" ht="21" x14ac:dyDescent="0.35">
      <c r="A9" s="61"/>
      <c r="B9" s="110"/>
      <c r="C9" s="110"/>
      <c r="D9" s="110"/>
      <c r="E9" s="110"/>
      <c r="F9" s="110"/>
      <c r="G9" s="110"/>
      <c r="H9" s="110"/>
    </row>
    <row r="10" spans="1:8" s="62" customFormat="1" ht="21" x14ac:dyDescent="0.35">
      <c r="A10" s="61"/>
      <c r="B10" s="69"/>
      <c r="C10" s="69"/>
      <c r="D10" s="69"/>
      <c r="E10" s="69"/>
      <c r="F10" s="69"/>
      <c r="G10" s="70"/>
      <c r="H10" s="69"/>
    </row>
    <row r="11" spans="1:8" s="62" customFormat="1" ht="70.900000000000006" customHeight="1" x14ac:dyDescent="0.35">
      <c r="A11" s="122" t="s">
        <v>3</v>
      </c>
      <c r="B11" s="71"/>
      <c r="C11" s="126" t="str">
        <f>IF(H11&lt;&gt;0,(VLOOKUP(H11,Сотрудники!D:E,2,0)),0)</f>
        <v>Руководитель группы</v>
      </c>
      <c r="D11" s="126"/>
      <c r="E11" s="126"/>
      <c r="F11" s="126"/>
      <c r="G11" s="126"/>
      <c r="H11" s="72" t="s">
        <v>408</v>
      </c>
    </row>
    <row r="12" spans="1:8" s="62" customFormat="1" ht="21" x14ac:dyDescent="0.35">
      <c r="A12" s="73"/>
      <c r="B12" s="73"/>
      <c r="C12" s="124" t="s">
        <v>4</v>
      </c>
      <c r="D12" s="124"/>
      <c r="E12" s="124"/>
      <c r="F12" s="124"/>
      <c r="G12" s="130" t="s">
        <v>351</v>
      </c>
      <c r="H12" s="130"/>
    </row>
    <row r="13" spans="1:8" s="62" customFormat="1" ht="21" x14ac:dyDescent="0.35">
      <c r="A13" s="74" t="s">
        <v>5</v>
      </c>
      <c r="B13" s="74"/>
      <c r="C13" s="75"/>
      <c r="D13" s="75"/>
      <c r="E13" s="75"/>
      <c r="F13" s="75"/>
      <c r="G13" s="76"/>
      <c r="H13" s="75"/>
    </row>
    <row r="14" spans="1:8" s="62" customFormat="1" ht="67.900000000000006" customHeight="1" x14ac:dyDescent="0.35">
      <c r="A14" s="122" t="s">
        <v>6</v>
      </c>
      <c r="B14" s="71"/>
      <c r="C14" s="126" t="str">
        <f>IF(H14&lt;&gt;0,(VLOOKUP(H14,Сотрудники!D:E,2,0)),0)</f>
        <v>Ведущий инженер по эксплуатации</v>
      </c>
      <c r="D14" s="126"/>
      <c r="E14" s="126"/>
      <c r="F14" s="126"/>
      <c r="G14" s="126"/>
      <c r="H14" s="72" t="s">
        <v>409</v>
      </c>
    </row>
    <row r="15" spans="1:8" s="62" customFormat="1" ht="21" x14ac:dyDescent="0.35">
      <c r="A15" s="61"/>
      <c r="B15" s="77"/>
      <c r="C15" s="124" t="s">
        <v>4</v>
      </c>
      <c r="D15" s="124"/>
      <c r="E15" s="124"/>
      <c r="F15" s="124"/>
      <c r="G15" s="125" t="s">
        <v>351</v>
      </c>
      <c r="H15" s="125"/>
    </row>
    <row r="16" spans="1:8" s="62" customFormat="1" ht="68.45" customHeight="1" x14ac:dyDescent="0.35">
      <c r="A16" s="122" t="s">
        <v>8</v>
      </c>
      <c r="B16" s="71"/>
      <c r="C16" s="126" t="str">
        <f>IF(H16&lt;&gt;0,(VLOOKUP(H16,Сотрудники!D:E,2,0)),0)</f>
        <v>Ведущий инженер</v>
      </c>
      <c r="D16" s="126"/>
      <c r="E16" s="126"/>
      <c r="F16" s="126"/>
      <c r="G16" s="126"/>
      <c r="H16" s="72" t="s">
        <v>410</v>
      </c>
    </row>
    <row r="17" spans="1:8" s="62" customFormat="1" ht="40.15" customHeight="1" x14ac:dyDescent="0.35">
      <c r="A17" s="61"/>
      <c r="B17" s="77"/>
      <c r="C17" s="124" t="s">
        <v>4</v>
      </c>
      <c r="D17" s="124"/>
      <c r="E17" s="124"/>
      <c r="F17" s="124"/>
      <c r="G17" s="125" t="s">
        <v>351</v>
      </c>
      <c r="H17" s="125"/>
    </row>
    <row r="18" spans="1:8" s="62" customFormat="1" ht="69.599999999999994" customHeight="1" x14ac:dyDescent="0.35">
      <c r="A18" s="61"/>
      <c r="B18" s="78"/>
      <c r="C18" s="126" t="str">
        <f>IF(H18&lt;&gt;0,(VLOOKUP(H18,Сотрудники!D:E,2,0)),0)</f>
        <v>Ведущий инженер</v>
      </c>
      <c r="D18" s="126"/>
      <c r="E18" s="126"/>
      <c r="F18" s="126"/>
      <c r="G18" s="126"/>
      <c r="H18" s="72" t="s">
        <v>411</v>
      </c>
    </row>
    <row r="19" spans="1:8" s="62" customFormat="1" ht="40.15" customHeight="1" x14ac:dyDescent="0.35">
      <c r="A19" s="61"/>
      <c r="B19" s="77"/>
      <c r="C19" s="124" t="s">
        <v>4</v>
      </c>
      <c r="D19" s="124"/>
      <c r="E19" s="124"/>
      <c r="F19" s="124"/>
      <c r="G19" s="125" t="s">
        <v>351</v>
      </c>
      <c r="H19" s="125"/>
    </row>
    <row r="20" spans="1:8" s="62" customFormat="1" ht="69.599999999999994" customHeight="1" x14ac:dyDescent="0.35">
      <c r="B20" s="77"/>
      <c r="C20" s="126" t="str">
        <f>IF(H20&lt;&gt;0,(VLOOKUP(H20,Сотрудники!D:E,2,0)),0)</f>
        <v>Главный специалист СБ</v>
      </c>
      <c r="D20" s="126"/>
      <c r="E20" s="126"/>
      <c r="F20" s="126"/>
      <c r="G20" s="126"/>
      <c r="H20" s="72" t="s">
        <v>412</v>
      </c>
    </row>
    <row r="21" spans="1:8" s="62" customFormat="1" ht="21" x14ac:dyDescent="0.35">
      <c r="B21" s="77"/>
      <c r="C21" s="124" t="s">
        <v>4</v>
      </c>
      <c r="D21" s="124"/>
      <c r="E21" s="124"/>
      <c r="F21" s="124"/>
      <c r="G21" s="125" t="s">
        <v>351</v>
      </c>
      <c r="H21" s="125"/>
    </row>
    <row r="22" spans="1:8" x14ac:dyDescent="0.3">
      <c r="B22" s="80"/>
      <c r="C22" s="81"/>
      <c r="D22" s="82"/>
      <c r="E22" s="82"/>
      <c r="F22" s="82"/>
      <c r="G22" s="83"/>
      <c r="H22" s="84"/>
    </row>
    <row r="23" spans="1:8" ht="20.25" x14ac:dyDescent="0.3">
      <c r="A23" s="111" t="s">
        <v>361</v>
      </c>
      <c r="B23" s="85" t="s">
        <v>233</v>
      </c>
      <c r="C23" s="86"/>
      <c r="D23" s="87"/>
      <c r="E23" s="87"/>
      <c r="F23" s="87"/>
      <c r="G23" s="88"/>
      <c r="H23" s="87"/>
    </row>
    <row r="24" spans="1:8" ht="20.25" x14ac:dyDescent="0.3">
      <c r="A24" s="111" t="s">
        <v>362</v>
      </c>
      <c r="B24" s="44" t="str">
        <f>IF(B23&lt;&gt;0,(VLOOKUP(B23,'Объекты '!A:B,2,0)),0)</f>
        <v>Эксплуатация и ТО_7804Ф</v>
      </c>
      <c r="C24" s="86"/>
      <c r="D24" s="87"/>
      <c r="E24" s="87"/>
      <c r="F24" s="87"/>
      <c r="G24" s="88"/>
      <c r="H24" s="87"/>
    </row>
    <row r="25" spans="1:8" ht="20.25" x14ac:dyDescent="0.3">
      <c r="A25" s="111" t="s">
        <v>363</v>
      </c>
      <c r="B25" s="89" t="s">
        <v>285</v>
      </c>
      <c r="C25" s="84"/>
      <c r="D25" s="84"/>
      <c r="E25" s="84"/>
      <c r="F25" s="84"/>
      <c r="G25" s="84"/>
      <c r="H25" s="84"/>
    </row>
    <row r="26" spans="1:8" ht="21" customHeight="1" x14ac:dyDescent="0.3">
      <c r="A26" s="112" t="s">
        <v>374</v>
      </c>
      <c r="B26" s="117" t="str">
        <f>IF(H11&lt;&gt;0,(VLOOKUP(H11,Сотрудники!D:F,3,0)),0)</f>
        <v>Группа по эксплуатации лифтового оборудования и грузоподъемных механизмов</v>
      </c>
      <c r="C26" s="90"/>
      <c r="D26" s="90"/>
      <c r="E26" s="90"/>
      <c r="F26" s="90"/>
      <c r="G26" s="90"/>
      <c r="H26" s="90"/>
    </row>
    <row r="27" spans="1:8" x14ac:dyDescent="0.3">
      <c r="A27" s="91"/>
      <c r="B27" s="92"/>
      <c r="C27" s="93"/>
      <c r="D27" s="94"/>
      <c r="E27" s="94"/>
      <c r="F27" s="94"/>
      <c r="G27" s="95"/>
      <c r="H27" s="94"/>
    </row>
    <row r="28" spans="1:8" s="96" customFormat="1" ht="41.45" customHeight="1" x14ac:dyDescent="0.35">
      <c r="A28" s="100" t="s">
        <v>9</v>
      </c>
      <c r="B28" s="97" t="s">
        <v>10</v>
      </c>
      <c r="C28" s="98" t="s">
        <v>11</v>
      </c>
      <c r="D28" s="98" t="s">
        <v>12</v>
      </c>
      <c r="E28" s="99" t="s">
        <v>13</v>
      </c>
      <c r="F28" s="114" t="s">
        <v>14</v>
      </c>
      <c r="G28" s="114" t="s">
        <v>377</v>
      </c>
      <c r="H28" s="100" t="s">
        <v>15</v>
      </c>
    </row>
    <row r="29" spans="1:8" s="101" customFormat="1" ht="84" x14ac:dyDescent="0.25">
      <c r="A29" s="102">
        <v>1</v>
      </c>
      <c r="B29" s="119" t="s">
        <v>413</v>
      </c>
      <c r="C29" s="103"/>
      <c r="D29" s="120" t="s">
        <v>414</v>
      </c>
      <c r="E29" s="120">
        <v>1</v>
      </c>
      <c r="F29" s="118" t="s">
        <v>415</v>
      </c>
      <c r="G29" s="119" t="s">
        <v>416</v>
      </c>
      <c r="H29" s="116" t="s">
        <v>417</v>
      </c>
    </row>
    <row r="30" spans="1:8" s="62" customFormat="1" ht="21" x14ac:dyDescent="0.35">
      <c r="B30" s="104"/>
      <c r="C30" s="104"/>
      <c r="D30" s="104"/>
      <c r="E30" s="104"/>
      <c r="F30" s="104"/>
      <c r="G30" s="104"/>
      <c r="H30" s="104"/>
    </row>
    <row r="31" spans="1:8" s="62" customFormat="1" ht="25.9" customHeight="1" x14ac:dyDescent="0.35">
      <c r="B31" s="71" t="s">
        <v>6</v>
      </c>
      <c r="C31" s="105"/>
      <c r="D31" s="105"/>
      <c r="E31" s="105"/>
      <c r="F31" s="105"/>
      <c r="G31" s="106"/>
      <c r="H31" s="59" t="str">
        <f>H14</f>
        <v>Семидалов Ю.С.</v>
      </c>
    </row>
    <row r="32" spans="1:8" s="62" customFormat="1" ht="25.9" customHeight="1" x14ac:dyDescent="0.35">
      <c r="B32" s="107"/>
      <c r="C32" s="108"/>
      <c r="D32" s="108"/>
      <c r="E32" s="108"/>
      <c r="F32" s="109"/>
      <c r="G32" s="123" t="s">
        <v>349</v>
      </c>
      <c r="H32" s="123"/>
    </row>
    <row r="33" spans="2:8" s="62" customFormat="1" ht="25.9" customHeight="1" x14ac:dyDescent="0.35">
      <c r="B33" s="71" t="s">
        <v>8</v>
      </c>
      <c r="C33" s="105"/>
      <c r="D33" s="105"/>
      <c r="E33" s="105"/>
      <c r="F33" s="105"/>
      <c r="G33" s="106"/>
      <c r="H33" s="59" t="str">
        <f>H16</f>
        <v>Агеев В.А.</v>
      </c>
    </row>
    <row r="34" spans="2:8" s="62" customFormat="1" ht="25.9" customHeight="1" x14ac:dyDescent="0.35">
      <c r="B34" s="77"/>
      <c r="C34" s="108"/>
      <c r="D34" s="108"/>
      <c r="E34" s="108"/>
      <c r="F34" s="109"/>
      <c r="G34" s="123" t="s">
        <v>349</v>
      </c>
      <c r="H34" s="123"/>
    </row>
    <row r="35" spans="2:8" s="62" customFormat="1" ht="25.9" customHeight="1" x14ac:dyDescent="0.35">
      <c r="B35" s="78"/>
      <c r="C35" s="105"/>
      <c r="D35" s="105"/>
      <c r="E35" s="105"/>
      <c r="F35" s="105"/>
      <c r="G35" s="106"/>
      <c r="H35" s="59" t="str">
        <f>H18</f>
        <v>Линев А.В.</v>
      </c>
    </row>
    <row r="36" spans="2:8" s="62" customFormat="1" ht="25.9" customHeight="1" x14ac:dyDescent="0.35">
      <c r="B36" s="77"/>
      <c r="C36" s="108"/>
      <c r="D36" s="108"/>
      <c r="E36" s="108"/>
      <c r="F36" s="109"/>
      <c r="G36" s="123" t="s">
        <v>349</v>
      </c>
      <c r="H36" s="123"/>
    </row>
    <row r="37" spans="2:8" s="62" customFormat="1" ht="25.9" customHeight="1" x14ac:dyDescent="0.35">
      <c r="B37" s="77"/>
      <c r="C37" s="105"/>
      <c r="D37" s="105"/>
      <c r="E37" s="105"/>
      <c r="F37" s="105"/>
      <c r="G37" s="106"/>
      <c r="H37" s="59" t="str">
        <f>H20</f>
        <v>Антимонов В.С.</v>
      </c>
    </row>
    <row r="38" spans="2:8" s="62" customFormat="1" ht="25.9" customHeight="1" x14ac:dyDescent="0.35">
      <c r="B38" s="77"/>
      <c r="C38" s="108"/>
      <c r="D38" s="108"/>
      <c r="E38" s="108"/>
      <c r="F38" s="109"/>
      <c r="G38" s="123" t="s">
        <v>349</v>
      </c>
      <c r="H38" s="123"/>
    </row>
    <row r="39" spans="2:8" s="62" customFormat="1" ht="25.9" customHeight="1" x14ac:dyDescent="0.35">
      <c r="B39" s="71" t="s">
        <v>3</v>
      </c>
      <c r="C39" s="105"/>
      <c r="D39" s="105"/>
      <c r="E39" s="105"/>
      <c r="F39" s="105"/>
      <c r="G39" s="106"/>
      <c r="H39" s="60" t="str">
        <f>H11</f>
        <v>Хабаров Д.Б.</v>
      </c>
    </row>
    <row r="40" spans="2:8" s="62" customFormat="1" ht="21" x14ac:dyDescent="0.35">
      <c r="B40" s="73"/>
      <c r="C40" s="108"/>
      <c r="D40" s="108"/>
      <c r="E40" s="108"/>
      <c r="F40" s="109"/>
      <c r="G40" s="123" t="s">
        <v>349</v>
      </c>
      <c r="H40" s="123"/>
    </row>
  </sheetData>
  <sheetProtection selectLockedCells="1" selectUnlockedCells="1"/>
  <dataConsolidate/>
  <mergeCells count="23"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  <mergeCell ref="C21:F21"/>
    <mergeCell ref="G21:H21"/>
    <mergeCell ref="C18:G18"/>
    <mergeCell ref="C19:F19"/>
    <mergeCell ref="G19:H19"/>
    <mergeCell ref="C20:G20"/>
    <mergeCell ref="G40:H40"/>
    <mergeCell ref="G32:H32"/>
    <mergeCell ref="G34:H34"/>
    <mergeCell ref="G36:H36"/>
    <mergeCell ref="G38:H38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Сотрудники!$D$2:$D$140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7"/>
  <sheetViews>
    <sheetView topLeftCell="A2" zoomScaleNormal="100" workbookViewId="0">
      <selection activeCell="C55" sqref="C55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84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121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 t="s">
        <v>185</v>
      </c>
      <c r="C58" s="47" t="s">
        <v>118</v>
      </c>
      <c r="D58" s="49" t="str">
        <f t="shared" si="1"/>
        <v>Карлин П.Г.</v>
      </c>
      <c r="E58" s="56" t="s">
        <v>98</v>
      </c>
      <c r="F58" s="56" t="s">
        <v>145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186</v>
      </c>
      <c r="C59" s="47" t="s">
        <v>119</v>
      </c>
      <c r="D59" s="49" t="str">
        <f t="shared" si="1"/>
        <v>Катаев Р.Н.</v>
      </c>
      <c r="E59" s="56" t="s">
        <v>98</v>
      </c>
      <c r="F59" s="56" t="s">
        <v>146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23"/>
      <c r="C60" s="49" t="s">
        <v>352</v>
      </c>
      <c r="D60" s="49" t="str">
        <f t="shared" si="1"/>
        <v>Кириллов М.А.</v>
      </c>
      <c r="E60" s="46" t="s">
        <v>353</v>
      </c>
      <c r="F60" s="46" t="s">
        <v>293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14" t="s">
        <v>187</v>
      </c>
      <c r="C61" s="47" t="s">
        <v>81</v>
      </c>
      <c r="D61" s="49" t="str">
        <f t="shared" si="1"/>
        <v>Кирка М.В.</v>
      </c>
      <c r="E61" s="56" t="s">
        <v>98</v>
      </c>
      <c r="F61" s="56" t="s">
        <v>113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188</v>
      </c>
      <c r="C62" s="47" t="s">
        <v>61</v>
      </c>
      <c r="D62" s="49" t="str">
        <f t="shared" si="1"/>
        <v>Ковалев Д.А.</v>
      </c>
      <c r="E62" s="56" t="s">
        <v>128</v>
      </c>
      <c r="F62" s="56" t="s">
        <v>139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189</v>
      </c>
      <c r="C63" s="47" t="s">
        <v>77</v>
      </c>
      <c r="D63" s="49" t="str">
        <f t="shared" si="1"/>
        <v>Ковалева Л.В.</v>
      </c>
      <c r="E63" s="56" t="s">
        <v>129</v>
      </c>
      <c r="F63" s="56" t="s">
        <v>94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/>
      <c r="C64" s="47" t="s">
        <v>404</v>
      </c>
      <c r="D64" s="49" t="str">
        <f t="shared" si="1"/>
        <v>Кононенко О.В.</v>
      </c>
      <c r="E64" s="46" t="s">
        <v>124</v>
      </c>
      <c r="F64" s="46" t="s">
        <v>136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23" t="s">
        <v>324</v>
      </c>
      <c r="C65" s="49" t="s">
        <v>323</v>
      </c>
      <c r="D65" s="49" t="str">
        <f t="shared" si="1"/>
        <v>Коробкин А.В.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334</v>
      </c>
      <c r="C66" s="49" t="s">
        <v>333</v>
      </c>
      <c r="D66" s="49" t="str">
        <f t="shared" si="1"/>
        <v>Коробко С.В.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14" t="s">
        <v>190</v>
      </c>
      <c r="C67" s="47" t="s">
        <v>17</v>
      </c>
      <c r="D67" s="49" t="str">
        <f t="shared" si="1"/>
        <v>Королев Л.В.</v>
      </c>
      <c r="E67" s="56" t="s">
        <v>7</v>
      </c>
      <c r="F67" s="56" t="s">
        <v>105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191</v>
      </c>
      <c r="C68" s="47" t="s">
        <v>82</v>
      </c>
      <c r="D68" s="49" t="str">
        <f t="shared" si="1"/>
        <v>Котельников Д.А.</v>
      </c>
      <c r="E68" s="56" t="s">
        <v>125</v>
      </c>
      <c r="F68" s="56" t="s">
        <v>147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192</v>
      </c>
      <c r="C69" s="47" t="s">
        <v>53</v>
      </c>
      <c r="D69" s="49" t="str">
        <f t="shared" si="1"/>
        <v>Кочеров Д.А.</v>
      </c>
      <c r="E69" s="56" t="s">
        <v>365</v>
      </c>
      <c r="F69" s="56" t="s">
        <v>140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193</v>
      </c>
      <c r="C70" s="47" t="s">
        <v>49</v>
      </c>
      <c r="D70" s="49" t="str">
        <f t="shared" si="1"/>
        <v>Кравченко В.П.</v>
      </c>
      <c r="E70" s="56" t="s">
        <v>125</v>
      </c>
      <c r="F70" s="56" t="s">
        <v>148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194</v>
      </c>
      <c r="C71" s="47" t="s">
        <v>37</v>
      </c>
      <c r="D71" s="49" t="str">
        <f t="shared" si="1"/>
        <v>Крупинов Е.В.</v>
      </c>
      <c r="E71" s="56" t="s">
        <v>398</v>
      </c>
      <c r="F71" s="56" t="s">
        <v>134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23" t="s">
        <v>347</v>
      </c>
      <c r="C72" s="49" t="s">
        <v>346</v>
      </c>
      <c r="D72" s="49" t="str">
        <f t="shared" si="1"/>
        <v>Кудрявцев Д.М.</v>
      </c>
      <c r="E72" s="46" t="s">
        <v>124</v>
      </c>
      <c r="F72" s="46" t="s">
        <v>136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13"/>
      <c r="C73" s="49" t="s">
        <v>298</v>
      </c>
      <c r="D73" s="49" t="str">
        <f t="shared" si="1"/>
        <v>Кузнецов А.О.</v>
      </c>
      <c r="E73" s="46" t="s">
        <v>230</v>
      </c>
      <c r="F73" s="46" t="s">
        <v>293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4" t="s">
        <v>195</v>
      </c>
      <c r="C74" s="47" t="s">
        <v>54</v>
      </c>
      <c r="D74" s="49" t="str">
        <f t="shared" si="1"/>
        <v>Лазарев С.В.</v>
      </c>
      <c r="E74" s="56" t="s">
        <v>365</v>
      </c>
      <c r="F74" s="56" t="s">
        <v>140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23" t="s">
        <v>345</v>
      </c>
      <c r="C75" s="49" t="s">
        <v>344</v>
      </c>
      <c r="D75" s="49" t="str">
        <f t="shared" si="1"/>
        <v>Ларионов А.Н.</v>
      </c>
      <c r="E75" s="46" t="s">
        <v>124</v>
      </c>
      <c r="F75" s="46" t="s">
        <v>136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314</v>
      </c>
      <c r="C76" s="49" t="s">
        <v>306</v>
      </c>
      <c r="D76" s="49" t="str">
        <f t="shared" si="1"/>
        <v>Лебедев М.Н.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/>
      <c r="C77" s="49" t="s">
        <v>403</v>
      </c>
      <c r="D77" s="49" t="str">
        <f t="shared" si="1"/>
        <v>Левченко К.А.</v>
      </c>
      <c r="E77" s="56" t="s">
        <v>34</v>
      </c>
      <c r="F77" s="56" t="s">
        <v>137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13"/>
      <c r="C78" s="49" t="s">
        <v>297</v>
      </c>
      <c r="D78" s="49" t="str">
        <f t="shared" si="1"/>
        <v>Летов А.К.</v>
      </c>
      <c r="E78" s="46" t="s">
        <v>229</v>
      </c>
      <c r="F78" s="46" t="s">
        <v>293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4" t="s">
        <v>196</v>
      </c>
      <c r="C79" s="47" t="s">
        <v>57</v>
      </c>
      <c r="D79" s="49" t="str">
        <f t="shared" si="1"/>
        <v>Линев А.В.</v>
      </c>
      <c r="E79" s="56" t="s">
        <v>34</v>
      </c>
      <c r="F79" s="56" t="s">
        <v>133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3"/>
      <c r="C80" s="49" t="s">
        <v>300</v>
      </c>
      <c r="D80" s="49" t="str">
        <f t="shared" si="1"/>
        <v>Маер В.Ю.</v>
      </c>
      <c r="E80" s="46" t="s">
        <v>229</v>
      </c>
      <c r="F80" s="46" t="s">
        <v>293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4" t="s">
        <v>197</v>
      </c>
      <c r="C81" s="47" t="s">
        <v>83</v>
      </c>
      <c r="D81" s="49" t="str">
        <f t="shared" si="1"/>
        <v>Макаренко А.А.</v>
      </c>
      <c r="E81" s="56" t="s">
        <v>84</v>
      </c>
      <c r="F81" s="56" t="s">
        <v>140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198</v>
      </c>
      <c r="C82" s="47" t="s">
        <v>19</v>
      </c>
      <c r="D82" s="49" t="str">
        <f t="shared" si="1"/>
        <v>Максютов К.С.</v>
      </c>
      <c r="E82" s="56" t="s">
        <v>34</v>
      </c>
      <c r="F82" s="56" t="s">
        <v>136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199</v>
      </c>
      <c r="C83" s="47" t="s">
        <v>62</v>
      </c>
      <c r="D83" s="49" t="str">
        <f t="shared" si="1"/>
        <v>Мартынов П.А.</v>
      </c>
      <c r="E83" s="56" t="s">
        <v>128</v>
      </c>
      <c r="F83" s="56" t="s">
        <v>139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200</v>
      </c>
      <c r="C84" s="47" t="s">
        <v>58</v>
      </c>
      <c r="D84" s="49" t="str">
        <f t="shared" si="1"/>
        <v>Меньщиков А.В.</v>
      </c>
      <c r="E84" s="56" t="s">
        <v>124</v>
      </c>
      <c r="F84" s="56" t="s">
        <v>136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/>
      <c r="C85" s="47" t="s">
        <v>385</v>
      </c>
      <c r="D85" s="47" t="s">
        <v>385</v>
      </c>
      <c r="E85" s="56" t="s">
        <v>386</v>
      </c>
      <c r="F85" s="56"/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378</v>
      </c>
      <c r="D86" s="49" t="s">
        <v>379</v>
      </c>
      <c r="E86" s="56" t="s">
        <v>229</v>
      </c>
      <c r="F86" s="56" t="s">
        <v>293</v>
      </c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23" t="s">
        <v>322</v>
      </c>
      <c r="C87" s="49" t="s">
        <v>321</v>
      </c>
      <c r="D87" s="49" t="str">
        <f t="shared" ref="D87:D110" si="2">LEFT(C87,FIND(" ",C87,1)+1)&amp;"."&amp;MID(C87,FIND(" ",C87,FIND(" ",C87,1)+1)+1,1)&amp;"."</f>
        <v>Мотовецкий В.А.</v>
      </c>
      <c r="E87" s="46" t="s">
        <v>124</v>
      </c>
      <c r="F87" s="46" t="s">
        <v>136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320</v>
      </c>
      <c r="C88" s="49" t="s">
        <v>319</v>
      </c>
      <c r="D88" s="49" t="str">
        <f t="shared" si="2"/>
        <v>Муксунов Н.А.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14" t="s">
        <v>201</v>
      </c>
      <c r="C89" s="47" t="s">
        <v>70</v>
      </c>
      <c r="D89" s="49" t="str">
        <f t="shared" si="2"/>
        <v>Мусин А.И.</v>
      </c>
      <c r="E89" s="56" t="s">
        <v>400</v>
      </c>
      <c r="F89" s="56" t="s">
        <v>143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202</v>
      </c>
      <c r="C90" s="47" t="s">
        <v>45</v>
      </c>
      <c r="D90" s="49" t="str">
        <f t="shared" si="2"/>
        <v>Мухаревич Д.В.</v>
      </c>
      <c r="E90" s="56" t="s">
        <v>34</v>
      </c>
      <c r="F90" s="56" t="s">
        <v>135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3"/>
      <c r="C91" s="49" t="s">
        <v>302</v>
      </c>
      <c r="D91" s="49" t="str">
        <f t="shared" si="2"/>
        <v>Мынзат А.П.</v>
      </c>
      <c r="E91" s="46" t="s">
        <v>231</v>
      </c>
      <c r="F91" s="46" t="s">
        <v>304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4" t="s">
        <v>203</v>
      </c>
      <c r="C92" s="47" t="s">
        <v>16</v>
      </c>
      <c r="D92" s="49" t="str">
        <f t="shared" si="2"/>
        <v>Нагабедян А.Г.</v>
      </c>
      <c r="E92" s="56" t="s">
        <v>106</v>
      </c>
      <c r="F92" s="56" t="s">
        <v>105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97</v>
      </c>
      <c r="C93" s="47" t="s">
        <v>85</v>
      </c>
      <c r="D93" s="49" t="str">
        <f t="shared" si="2"/>
        <v>Негодяев В.Ю.</v>
      </c>
      <c r="E93" s="56" t="s">
        <v>34</v>
      </c>
      <c r="F93" s="56" t="s">
        <v>95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23" t="s">
        <v>315</v>
      </c>
      <c r="C94" s="49" t="s">
        <v>308</v>
      </c>
      <c r="D94" s="49" t="str">
        <f t="shared" si="2"/>
        <v>Николаев Г.А.</v>
      </c>
      <c r="E94" s="46" t="s">
        <v>34</v>
      </c>
      <c r="F94" s="46" t="s">
        <v>136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13"/>
      <c r="C95" s="49" t="s">
        <v>294</v>
      </c>
      <c r="D95" s="49" t="str">
        <f t="shared" si="2"/>
        <v>Николенко А.Ю.</v>
      </c>
      <c r="E95" s="46" t="s">
        <v>229</v>
      </c>
      <c r="F95" s="46" t="s">
        <v>293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4" t="s">
        <v>204</v>
      </c>
      <c r="C96" s="47" t="s">
        <v>120</v>
      </c>
      <c r="D96" s="49" t="str">
        <f t="shared" si="2"/>
        <v>Овешников Д.В.</v>
      </c>
      <c r="E96" s="56" t="s">
        <v>130</v>
      </c>
      <c r="F96" s="56" t="s">
        <v>145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23" t="s">
        <v>331</v>
      </c>
      <c r="C97" s="49" t="s">
        <v>330</v>
      </c>
      <c r="D97" s="49" t="str">
        <f t="shared" si="2"/>
        <v>Павлова Е.В.</v>
      </c>
      <c r="E97" s="46" t="s">
        <v>332</v>
      </c>
      <c r="F97" s="46" t="s">
        <v>94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5" customHeight="1" x14ac:dyDescent="0.2">
      <c r="A98" s="15"/>
      <c r="B98" s="14" t="s">
        <v>205</v>
      </c>
      <c r="C98" s="47" t="s">
        <v>121</v>
      </c>
      <c r="D98" s="49" t="str">
        <f t="shared" si="2"/>
        <v>Панасенко А.И.</v>
      </c>
      <c r="E98" s="56" t="s">
        <v>34</v>
      </c>
      <c r="F98" s="56" t="s">
        <v>142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206</v>
      </c>
      <c r="C99" s="47" t="s">
        <v>63</v>
      </c>
      <c r="D99" s="49" t="str">
        <f t="shared" si="2"/>
        <v>Пастухов Д.В.</v>
      </c>
      <c r="E99" s="56" t="s">
        <v>60</v>
      </c>
      <c r="F99" s="56" t="s">
        <v>139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207</v>
      </c>
      <c r="C100" s="47" t="s">
        <v>71</v>
      </c>
      <c r="D100" s="49" t="str">
        <f t="shared" si="2"/>
        <v>Пашкевич А.В.</v>
      </c>
      <c r="E100" s="56" t="s">
        <v>400</v>
      </c>
      <c r="F100" s="56" t="s">
        <v>143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208</v>
      </c>
      <c r="C101" s="47" t="s">
        <v>72</v>
      </c>
      <c r="D101" s="49" t="str">
        <f t="shared" si="2"/>
        <v>Перетокин И.В.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23" t="s">
        <v>336</v>
      </c>
      <c r="C102" s="49" t="s">
        <v>335</v>
      </c>
      <c r="D102" s="49" t="str">
        <f t="shared" si="2"/>
        <v>Петров А.Ю.</v>
      </c>
      <c r="E102" s="46" t="s">
        <v>124</v>
      </c>
      <c r="F102" s="46" t="s">
        <v>136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14" t="s">
        <v>209</v>
      </c>
      <c r="C103" s="47" t="s">
        <v>122</v>
      </c>
      <c r="D103" s="49" t="str">
        <f t="shared" si="2"/>
        <v>Пирогов Е.А.</v>
      </c>
      <c r="E103" s="56" t="s">
        <v>131</v>
      </c>
      <c r="F103" s="56" t="s">
        <v>140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210</v>
      </c>
      <c r="C104" s="47" t="s">
        <v>38</v>
      </c>
      <c r="D104" s="49" t="str">
        <f t="shared" si="2"/>
        <v>Проценко Р.В.</v>
      </c>
      <c r="E104" s="56" t="s">
        <v>398</v>
      </c>
      <c r="F104" s="56" t="s">
        <v>134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23" t="s">
        <v>317</v>
      </c>
      <c r="C105" s="49" t="s">
        <v>312</v>
      </c>
      <c r="D105" s="49" t="str">
        <f t="shared" si="2"/>
        <v>Рожков С.А.</v>
      </c>
      <c r="E105" s="46" t="s">
        <v>313</v>
      </c>
      <c r="F105" s="46" t="s">
        <v>113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/>
      <c r="C106" s="49" t="s">
        <v>348</v>
      </c>
      <c r="D106" s="49" t="str">
        <f t="shared" si="2"/>
        <v>Русаков Д.О.</v>
      </c>
      <c r="E106" s="46" t="s">
        <v>124</v>
      </c>
      <c r="F106" s="46" t="s">
        <v>136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14" t="s">
        <v>211</v>
      </c>
      <c r="C107" s="47" t="s">
        <v>46</v>
      </c>
      <c r="D107" s="49" t="str">
        <f t="shared" si="2"/>
        <v>Рычков Д.А.</v>
      </c>
      <c r="E107" s="56" t="s">
        <v>42</v>
      </c>
      <c r="F107" s="56" t="s">
        <v>135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212</v>
      </c>
      <c r="C108" s="47" t="s">
        <v>64</v>
      </c>
      <c r="D108" s="49" t="str">
        <f t="shared" si="2"/>
        <v>Сагдиев А.А.</v>
      </c>
      <c r="E108" s="56" t="s">
        <v>60</v>
      </c>
      <c r="F108" s="56" t="s">
        <v>139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3"/>
      <c r="C109" s="49" t="s">
        <v>305</v>
      </c>
      <c r="D109" s="49" t="str">
        <f t="shared" si="2"/>
        <v>Самойлов В.С.</v>
      </c>
      <c r="E109" s="46" t="s">
        <v>96</v>
      </c>
      <c r="F109" s="46" t="s">
        <v>137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4" t="s">
        <v>213</v>
      </c>
      <c r="C110" s="47" t="s">
        <v>47</v>
      </c>
      <c r="D110" s="49" t="str">
        <f t="shared" si="2"/>
        <v>Сарычев А.И.</v>
      </c>
      <c r="E110" s="56" t="s">
        <v>42</v>
      </c>
      <c r="F110" s="56" t="s">
        <v>135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/>
      <c r="C111" s="47" t="s">
        <v>387</v>
      </c>
      <c r="D111" s="47" t="s">
        <v>387</v>
      </c>
      <c r="E111" s="56" t="s">
        <v>388</v>
      </c>
      <c r="F111" s="5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23"/>
      <c r="C112" s="49" t="s">
        <v>372</v>
      </c>
      <c r="D112" s="49" t="str">
        <f t="shared" ref="D112:D140" si="3">LEFT(C112,FIND(" ",C112,1)+1)&amp;"."&amp;MID(C112,FIND(" ",C112,FIND(" ",C112,1)+1)+1,1)&amp;"."</f>
        <v>Селетков Е.Ю.</v>
      </c>
      <c r="E112" s="46" t="s">
        <v>373</v>
      </c>
      <c r="F112" s="46" t="s">
        <v>371</v>
      </c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2.75" x14ac:dyDescent="0.2">
      <c r="A113" s="15"/>
      <c r="B113" s="14" t="s">
        <v>214</v>
      </c>
      <c r="C113" s="47" t="s">
        <v>22</v>
      </c>
      <c r="D113" s="49" t="str">
        <f t="shared" si="3"/>
        <v>Семидалов Ю.С.</v>
      </c>
      <c r="E113" s="56" t="s">
        <v>23</v>
      </c>
      <c r="F113" s="56" t="s">
        <v>136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14" t="s">
        <v>215</v>
      </c>
      <c r="C114" s="47" t="s">
        <v>73</v>
      </c>
      <c r="D114" s="49" t="str">
        <f t="shared" si="3"/>
        <v>Серпинин А.С.</v>
      </c>
      <c r="E114" s="56" t="s">
        <v>400</v>
      </c>
      <c r="F114" s="56" t="s">
        <v>143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5" customHeight="1" x14ac:dyDescent="0.2">
      <c r="A115" s="15"/>
      <c r="B115" s="14" t="s">
        <v>216</v>
      </c>
      <c r="C115" s="47" t="s">
        <v>65</v>
      </c>
      <c r="D115" s="49" t="str">
        <f t="shared" si="3"/>
        <v>Сидорчик Д.А.</v>
      </c>
      <c r="E115" s="56" t="s">
        <v>60</v>
      </c>
      <c r="F115" s="56" t="s">
        <v>139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217</v>
      </c>
      <c r="C116" s="47" t="s">
        <v>123</v>
      </c>
      <c r="D116" s="49" t="str">
        <f t="shared" si="3"/>
        <v>Сладков К.В.</v>
      </c>
      <c r="E116" s="56" t="s">
        <v>34</v>
      </c>
      <c r="F116" s="56" t="s">
        <v>142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23" t="s">
        <v>326</v>
      </c>
      <c r="C117" s="49" t="s">
        <v>325</v>
      </c>
      <c r="D117" s="49" t="str">
        <f t="shared" si="3"/>
        <v>Снытко В.В.</v>
      </c>
      <c r="E117" s="46" t="s">
        <v>124</v>
      </c>
      <c r="F117" s="46" t="s">
        <v>136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23" t="s">
        <v>329</v>
      </c>
      <c r="C118" s="49" t="s">
        <v>327</v>
      </c>
      <c r="D118" s="49" t="str">
        <f t="shared" si="3"/>
        <v>Соколенко С.И.</v>
      </c>
      <c r="E118" s="46" t="s">
        <v>328</v>
      </c>
      <c r="F118" s="46" t="s">
        <v>94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318</v>
      </c>
      <c r="C119" s="49" t="s">
        <v>309</v>
      </c>
      <c r="D119" s="49" t="str">
        <f t="shared" si="3"/>
        <v>Солопов Д.С.</v>
      </c>
      <c r="E119" s="46" t="s">
        <v>310</v>
      </c>
      <c r="F119" s="46" t="s">
        <v>113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14" t="s">
        <v>218</v>
      </c>
      <c r="C120" s="47" t="s">
        <v>74</v>
      </c>
      <c r="D120" s="49" t="str">
        <f t="shared" si="3"/>
        <v>Степанов Г.В.</v>
      </c>
      <c r="E120" s="56" t="s">
        <v>400</v>
      </c>
      <c r="F120" s="56" t="s">
        <v>143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343</v>
      </c>
      <c r="C121" s="49" t="s">
        <v>342</v>
      </c>
      <c r="D121" s="49" t="str">
        <f t="shared" si="3"/>
        <v>Суворов Е.В.</v>
      </c>
      <c r="E121" s="46" t="s">
        <v>124</v>
      </c>
      <c r="F121" s="46" t="s">
        <v>136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23"/>
      <c r="C122" s="49" t="s">
        <v>390</v>
      </c>
      <c r="D122" s="49" t="str">
        <f t="shared" si="3"/>
        <v>Тедеев Д.П.</v>
      </c>
      <c r="E122" s="46" t="s">
        <v>124</v>
      </c>
      <c r="F122" s="46" t="s">
        <v>136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/>
      <c r="C123" s="49" t="s">
        <v>382</v>
      </c>
      <c r="D123" s="49" t="str">
        <f t="shared" si="3"/>
        <v>Тетенов А.Н.</v>
      </c>
      <c r="E123" s="46" t="s">
        <v>130</v>
      </c>
      <c r="F123" s="46" t="s">
        <v>145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13"/>
      <c r="C124" s="49" t="s">
        <v>303</v>
      </c>
      <c r="D124" s="49" t="str">
        <f t="shared" si="3"/>
        <v>Тимошин А.Ю.</v>
      </c>
      <c r="E124" s="46" t="s">
        <v>229</v>
      </c>
      <c r="F124" s="46" t="s">
        <v>293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14" t="s">
        <v>219</v>
      </c>
      <c r="C125" s="47" t="s">
        <v>48</v>
      </c>
      <c r="D125" s="49" t="str">
        <f t="shared" si="3"/>
        <v>Тропников И.А.</v>
      </c>
      <c r="E125" s="56" t="s">
        <v>42</v>
      </c>
      <c r="F125" s="56" t="s">
        <v>135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4" t="s">
        <v>220</v>
      </c>
      <c r="C126" s="47" t="s">
        <v>55</v>
      </c>
      <c r="D126" s="49" t="str">
        <f t="shared" si="3"/>
        <v>Хабаров Д.Б.</v>
      </c>
      <c r="E126" s="56" t="s">
        <v>125</v>
      </c>
      <c r="F126" s="56" t="s">
        <v>133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/>
      <c r="C127" s="56" t="s">
        <v>395</v>
      </c>
      <c r="D127" s="49" t="str">
        <f t="shared" si="3"/>
        <v>Христенко А.А.</v>
      </c>
      <c r="E127" s="56" t="s">
        <v>402</v>
      </c>
      <c r="F127" s="56" t="s">
        <v>140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221</v>
      </c>
      <c r="C128" s="56" t="s">
        <v>30</v>
      </c>
      <c r="D128" s="49" t="str">
        <f t="shared" si="3"/>
        <v>Христофориди А.А.</v>
      </c>
      <c r="E128" s="56" t="s">
        <v>129</v>
      </c>
      <c r="F128" s="56" t="s">
        <v>137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23"/>
      <c r="C129" s="49" t="s">
        <v>366</v>
      </c>
      <c r="D129" s="49" t="str">
        <f t="shared" si="3"/>
        <v>Цупрунов Ю.С.</v>
      </c>
      <c r="E129" s="46" t="s">
        <v>124</v>
      </c>
      <c r="F129" s="46" t="s">
        <v>136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3"/>
      <c r="C130" s="49" t="s">
        <v>296</v>
      </c>
      <c r="D130" s="49" t="str">
        <f t="shared" si="3"/>
        <v>Челноков А.Г.</v>
      </c>
      <c r="E130" s="46" t="s">
        <v>229</v>
      </c>
      <c r="F130" s="46" t="s">
        <v>293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339</v>
      </c>
      <c r="D131" s="49" t="str">
        <f t="shared" si="3"/>
        <v>Черниченко Д.В.</v>
      </c>
      <c r="E131" s="46" t="s">
        <v>231</v>
      </c>
      <c r="F131" s="46" t="s">
        <v>304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4" t="s">
        <v>222</v>
      </c>
      <c r="C132" s="47" t="s">
        <v>18</v>
      </c>
      <c r="D132" s="49" t="str">
        <f t="shared" si="3"/>
        <v>Черняев А.В.</v>
      </c>
      <c r="E132" s="56" t="s">
        <v>106</v>
      </c>
      <c r="F132" s="56" t="s">
        <v>105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14" t="s">
        <v>223</v>
      </c>
      <c r="C133" s="47" t="s">
        <v>86</v>
      </c>
      <c r="D133" s="49" t="str">
        <f t="shared" si="3"/>
        <v>Чеченев И.В.</v>
      </c>
      <c r="E133" s="56" t="s">
        <v>112</v>
      </c>
      <c r="F133" s="56" t="s">
        <v>145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224</v>
      </c>
      <c r="C134" s="47" t="s">
        <v>101</v>
      </c>
      <c r="D134" s="49" t="str">
        <f t="shared" si="3"/>
        <v>Чуб С.В.</v>
      </c>
      <c r="E134" s="56" t="s">
        <v>132</v>
      </c>
      <c r="F134" s="56" t="s">
        <v>99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225</v>
      </c>
      <c r="C135" s="47" t="s">
        <v>108</v>
      </c>
      <c r="D135" s="49" t="str">
        <f t="shared" si="3"/>
        <v>Чукбар А.Г.</v>
      </c>
      <c r="E135" s="56" t="s">
        <v>109</v>
      </c>
      <c r="F135" s="56" t="s">
        <v>105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226</v>
      </c>
      <c r="C136" s="47" t="s">
        <v>102</v>
      </c>
      <c r="D136" s="49" t="str">
        <f t="shared" si="3"/>
        <v>Чукбар Е.В.</v>
      </c>
      <c r="E136" s="56" t="s">
        <v>98</v>
      </c>
      <c r="F136" s="56" t="s">
        <v>94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227</v>
      </c>
      <c r="C137" s="47" t="s">
        <v>75</v>
      </c>
      <c r="D137" s="49" t="str">
        <f t="shared" si="3"/>
        <v>Широпятов А.Н.</v>
      </c>
      <c r="E137" s="56" t="s">
        <v>400</v>
      </c>
      <c r="F137" s="56" t="s">
        <v>143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228</v>
      </c>
      <c r="C138" s="47" t="s">
        <v>110</v>
      </c>
      <c r="D138" s="49" t="str">
        <f t="shared" si="3"/>
        <v>Шленчак С.А.</v>
      </c>
      <c r="E138" s="56" t="s">
        <v>98</v>
      </c>
      <c r="F138" s="56" t="s">
        <v>111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3"/>
      <c r="C139" s="49" t="s">
        <v>301</v>
      </c>
      <c r="D139" s="49" t="str">
        <f t="shared" si="3"/>
        <v>Ярый Ж.Б.</v>
      </c>
      <c r="E139" s="46" t="s">
        <v>230</v>
      </c>
      <c r="F139" s="46" t="s">
        <v>293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23"/>
      <c r="C140" s="49" t="s">
        <v>376</v>
      </c>
      <c r="D140" s="49" t="str">
        <f t="shared" si="3"/>
        <v>Ячменев И.Р.</v>
      </c>
      <c r="E140" s="46" t="s">
        <v>229</v>
      </c>
      <c r="F140" s="46" t="s">
        <v>293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23"/>
      <c r="C141" s="49"/>
      <c r="D141" s="49"/>
      <c r="E141" s="46"/>
      <c r="F141" s="4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/>
      <c r="D142" s="49"/>
      <c r="E142" s="46"/>
      <c r="F142" s="4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7"/>
      <c r="B148" s="10"/>
      <c r="C148" s="50"/>
      <c r="D148" s="50"/>
      <c r="E148" s="57"/>
      <c r="F148" s="57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8"/>
      <c r="B149" s="11"/>
      <c r="C149" s="51"/>
      <c r="D149" s="51"/>
      <c r="E149" s="58"/>
      <c r="F149" s="58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8"/>
      <c r="B150" s="11"/>
      <c r="C150" s="51"/>
      <c r="D150" s="51"/>
      <c r="E150" s="58"/>
      <c r="F150" s="58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50.2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28.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7.7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78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6.2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61.5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44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20.2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39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2.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25.5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89.2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48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53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39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27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60.75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62.25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72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27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4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.75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12.75" x14ac:dyDescent="0.2">
      <c r="A214" s="19"/>
      <c r="B214" s="12"/>
      <c r="C214" s="52"/>
      <c r="D214" s="52"/>
      <c r="E214" s="52"/>
      <c r="F214" s="52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12.75" x14ac:dyDescent="0.2">
      <c r="A215" s="19"/>
      <c r="B215" s="12"/>
      <c r="C215" s="52"/>
      <c r="D215" s="52"/>
      <c r="E215" s="52"/>
      <c r="F215" s="52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</sheetData>
  <sheetProtection algorithmName="SHA-512" hashValue="e1ph0vQmgSatQrxC+tR4Txh/cQjE27Ylqg5fRmBFkg/Xe+DwYPgbJfDcNIi/gxkGmHyCxCMTxtVGgvMHGaAB3g==" saltValue="Z7nYzYK9KGb70kYcg0LNOA==" spinCount="100000" sheet="1" formatCells="0" formatColumns="0" formatRows="0" insertColumns="0" insertRows="0" insertHyperlinks="0" deleteColumns="0" deleteRows="0" sort="0" autoFilter="0" pivotTables="0"/>
  <autoFilter ref="A1:T1">
    <sortState ref="A2:T140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E184:E365</xm:sqref>
        </x14:dataValidation>
        <x14:dataValidation type="list" allowBlank="1" showInputMessage="1" showErrorMessage="1">
          <x14:formula1>
            <xm:f>'Объекты '!$D$2:$D$24</xm:f>
          </x14:formula1>
          <xm:sqref>F184:F373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115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2025-11-06T15:45:44Z</dcterms:modified>
</cp:coreProperties>
</file>