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_second_brain\95 Файлы\2026. Группа. СИЗ\"/>
    </mc:Choice>
  </mc:AlternateContent>
  <bookViews>
    <workbookView xWindow="0" yWindow="0" windowWidth="24000" windowHeight="9735" tabRatio="500" firstSheet="1" activeTab="1"/>
  </bookViews>
  <sheets>
    <sheet name="Лист1" sheetId="1" state="hidden" r:id="rId1"/>
    <sheet name="Лист2" sheetId="2" r:id="rId2"/>
  </sheets>
  <definedNames>
    <definedName name="_xlnm.Print_Area" localSheetId="0">Лист1!$A$6:$I$18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8" i="2" l="1"/>
  <c r="H27" i="2"/>
  <c r="H25" i="2"/>
  <c r="H24" i="2"/>
  <c r="H18" i="2" l="1"/>
  <c r="H19" i="2"/>
  <c r="H20" i="2"/>
  <c r="H21" i="2"/>
  <c r="H22" i="2"/>
  <c r="H23" i="2"/>
  <c r="H26" i="2"/>
  <c r="H17" i="2"/>
  <c r="H29" i="2" l="1"/>
  <c r="I69" i="1"/>
</calcChain>
</file>

<file path=xl/sharedStrings.xml><?xml version="1.0" encoding="utf-8"?>
<sst xmlns="http://schemas.openxmlformats.org/spreadsheetml/2006/main" count="193" uniqueCount="79">
  <si>
    <t>Заявка на закупку</t>
  </si>
  <si>
    <t>Инициатор закупки</t>
  </si>
  <si>
    <t>Подразделение Инициатора</t>
  </si>
  <si>
    <t>Руководитель Инициатора (Ф.И.О.)</t>
  </si>
  <si>
    <t>Инициатор заявки (Ф.И.О.), тел.</t>
  </si>
  <si>
    <t>Общая информация</t>
  </si>
  <si>
    <t>Вид деятельности</t>
  </si>
  <si>
    <t>Предмет закупки</t>
  </si>
  <si>
    <t>Обоснование закупки</t>
  </si>
  <si>
    <t>№</t>
  </si>
  <si>
    <t>Наименование товара (услуги, работы)</t>
  </si>
  <si>
    <t>Характеристики</t>
  </si>
  <si>
    <t>Информация о поставщиках и аналогах</t>
  </si>
  <si>
    <t>Артикул</t>
  </si>
  <si>
    <t>ЕИ</t>
  </si>
  <si>
    <t>Кол-во</t>
  </si>
  <si>
    <t>Ориентир. цена</t>
  </si>
  <si>
    <t>Сумма</t>
  </si>
  <si>
    <t>Приложение №2</t>
  </si>
  <si>
    <t>к приказу от 13.03.2023 г. № 83-ОД/56-ОД-УК</t>
  </si>
  <si>
    <t>Фонда "Талант и успех" / АО "УК ИНТЦ "Сириус"</t>
  </si>
  <si>
    <t>Дата и номер заявки</t>
  </si>
  <si>
    <t>Объекты</t>
  </si>
  <si>
    <t>№ поручения на закупку</t>
  </si>
  <si>
    <t>Итого:</t>
  </si>
  <si>
    <t>ООО «Инженерная инфраструктура»</t>
  </si>
  <si>
    <t>Наличие на складе     ООО ИИ</t>
  </si>
  <si>
    <t>Ориентировочная месяц списания ТМЦ</t>
  </si>
  <si>
    <t>96-100/170-176</t>
  </si>
  <si>
    <t>шт.</t>
  </si>
  <si>
    <t>Техноавиа</t>
  </si>
  <si>
    <t>Куртка мужская летняя «Челси»</t>
  </si>
  <si>
    <t>104-108/182-188</t>
  </si>
  <si>
    <t>112-116/182-188</t>
  </si>
  <si>
    <t>Брюки мужские летние «Челси»</t>
  </si>
  <si>
    <t>Кепи-бейсболка «Челси»</t>
  </si>
  <si>
    <t>Костюм влагозащитный «Посейдон» (Poseidon WPL)</t>
  </si>
  <si>
    <t>Жилет сигнальный повышенной видимости «Габарит-4» флуоресцентный желтый</t>
  </si>
  <si>
    <t>Полуботинки «ФЛОУ» (FLOW S3 LOW TLS) с системой быстрой шнуровки, с внутренними защитными композитными носками и неметаллическими проколозащитными прокладками</t>
  </si>
  <si>
    <t>3.943</t>
  </si>
  <si>
    <t>3.973</t>
  </si>
  <si>
    <t>7 256,00</t>
  </si>
  <si>
    <t>54-62</t>
  </si>
  <si>
    <t>8.023</t>
  </si>
  <si>
    <t>3.218</t>
  </si>
  <si>
    <t>3.244</t>
  </si>
  <si>
    <t>пара</t>
  </si>
  <si>
    <t>50.388</t>
  </si>
  <si>
    <t>Строп эластичный двойной с амортизатором «aЕ22» (vnt aE22)</t>
  </si>
  <si>
    <t>Средство защиты втягивающего типа Karam, модель Микрон (MIC11) </t>
  </si>
  <si>
    <t>Привязь «Профи Мастер» (vnt 050) размер 1</t>
  </si>
  <si>
    <t>13.511</t>
  </si>
  <si>
    <t>20.913</t>
  </si>
  <si>
    <t>13.000</t>
  </si>
  <si>
    <t>Брюхов Н.А. +7 918 306 77 79</t>
  </si>
  <si>
    <t xml:space="preserve">Брюхов Н.А. </t>
  </si>
  <si>
    <t>Отдел по общестроительным работам</t>
  </si>
  <si>
    <t>Эксплуатация</t>
  </si>
  <si>
    <t>Средства индивидуальной защиты</t>
  </si>
  <si>
    <t>Закупка средств индивидуальной защиты для укомплектования сотрудников отдела общестроительных работ</t>
  </si>
  <si>
    <t>ИТОГО:</t>
  </si>
  <si>
    <t>Перчатки трикотажные с двойным латексным покрытием ладони</t>
  </si>
  <si>
    <t>Полуботинки c перфорацией «ФЛОУ» (FLOW S1P SANDAL TLS), с системой быстрой шнуровки, с защитными композитными носками и неметаллическими проколозащитными прокладками</t>
  </si>
  <si>
    <t>Ремонтная служба / Группа по эксплуатации лифтового оборудования и грузоподъемных механизмов</t>
  </si>
  <si>
    <t>Рябинин С.И.</t>
  </si>
  <si>
    <t>Ледовый дворец спорта по фигурному катанию и шортреку</t>
  </si>
  <si>
    <t>Закупка средств индивидуальной защиты для укомплектования сотрудников группы по эксплуатации лифтового оборудования</t>
  </si>
  <si>
    <t>Куртка мужская летняя «Скаймастер-2»</t>
  </si>
  <si>
    <t>Брюки мужские летние «Скаймастер-2»</t>
  </si>
  <si>
    <t>Полуботинки «НЕОТЕК» с защитными носками из стекловолокна и текстильными антипрокольными стельками</t>
  </si>
  <si>
    <t>Очки защитные открытые UVEX «Ай-5» (9183265)</t>
  </si>
  <si>
    <t>Куртка мужская демисезонная «Экспо»</t>
  </si>
  <si>
    <t>Сорочка с воротником «Поло» темно-синяя</t>
  </si>
  <si>
    <t>Каска защитная СОМЗ-88 ЯМАЛ RAPID белая (788717)</t>
  </si>
  <si>
    <t>Плащ сигнальный влагозащитный «Экстра Вижен» (Extra Vision WPL) флуоресцентный желтый</t>
  </si>
  <si>
    <t>Очищающая паста-крем для рук, BIO-7, 100 мл.</t>
  </si>
  <si>
    <t>Крем для рук универсальный, BIO-7, 100 мл.</t>
  </si>
  <si>
    <t>https://amecon.ru/</t>
  </si>
  <si>
    <t>Хабаров Д.Б. +79388787314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</si>
</sst>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25" x14ac:knownFonts="1">
    <font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u/>
      <sz val="11"/>
      <color rgb="FF0563C1"/>
      <name val="Calibri"/>
      <family val="2"/>
      <charset val="1"/>
    </font>
    <font>
      <sz val="9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u/>
      <sz val="11"/>
      <color rgb="FF0563C1"/>
      <name val="Times New Roman"/>
      <family val="1"/>
      <charset val="204"/>
    </font>
    <font>
      <sz val="11"/>
      <color rgb="FF0070C0"/>
      <name val="Times New Roman"/>
      <family val="1"/>
      <charset val="204"/>
    </font>
    <font>
      <sz val="11"/>
      <color rgb="FF1C2126"/>
      <name val="Times New Roman"/>
      <family val="1"/>
      <charset val="204"/>
    </font>
    <font>
      <sz val="11"/>
      <color rgb="FF0563C1"/>
      <name val="Times New Roman"/>
      <family val="1"/>
      <charset val="204"/>
    </font>
    <font>
      <sz val="11"/>
      <color rgb="FF494949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2E3440"/>
      <name val="Times New Roman"/>
      <family val="1"/>
      <charset val="204"/>
    </font>
    <font>
      <sz val="11"/>
      <color rgb="FF212731"/>
      <name val="Times New Roman"/>
      <family val="1"/>
      <charset val="204"/>
    </font>
    <font>
      <sz val="11"/>
      <color rgb="FF818181"/>
      <name val="Times New Roman"/>
      <family val="1"/>
      <charset val="204"/>
    </font>
    <font>
      <sz val="11"/>
      <color rgb="FF666666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11"/>
      <color rgb="FFFF0000"/>
      <name val="Calibri"/>
      <family val="2"/>
      <charset val="1"/>
    </font>
    <font>
      <b/>
      <sz val="11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6" fillId="0" borderId="0" applyBorder="0" applyProtection="0"/>
    <xf numFmtId="0" fontId="8" fillId="0" borderId="0"/>
    <xf numFmtId="0" fontId="8" fillId="0" borderId="0"/>
  </cellStyleXfs>
  <cellXfs count="8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right" vertical="center"/>
    </xf>
    <xf numFmtId="0" fontId="21" fillId="0" borderId="0" xfId="0" applyFont="1" applyAlignment="1">
      <alignment horizontal="center"/>
    </xf>
    <xf numFmtId="0" fontId="1" fillId="0" borderId="1" xfId="0" applyFont="1" applyFill="1" applyBorder="1" applyAlignment="1">
      <alignment horizontal="left" vertical="center" wrapText="1"/>
    </xf>
    <xf numFmtId="49" fontId="15" fillId="0" borderId="1" xfId="0" applyNumberFormat="1" applyFont="1" applyFill="1" applyBorder="1" applyAlignment="1" applyProtection="1">
      <alignment horizontal="center" vertical="center" wrapText="1"/>
      <protection locked="0"/>
    </xf>
    <xf numFmtId="164" fontId="15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" fillId="0" borderId="1" xfId="2" applyFont="1" applyFill="1" applyBorder="1" applyAlignment="1">
      <alignment horizontal="center" vertical="center" wrapText="1"/>
    </xf>
    <xf numFmtId="0" fontId="21" fillId="0" borderId="0" xfId="0" applyFont="1" applyFill="1" applyAlignment="1">
      <alignment horizontal="left" vertical="center"/>
    </xf>
    <xf numFmtId="0" fontId="22" fillId="0" borderId="0" xfId="0" applyFont="1" applyFill="1" applyBorder="1" applyAlignment="1">
      <alignment horizontal="left" vertical="center"/>
    </xf>
    <xf numFmtId="0" fontId="23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5" fillId="0" borderId="1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15" fillId="0" borderId="1" xfId="0" applyFont="1" applyFill="1" applyBorder="1" applyAlignment="1" applyProtection="1">
      <alignment horizontal="center" vertical="center" wrapText="1"/>
    </xf>
    <xf numFmtId="0" fontId="1" fillId="0" borderId="1" xfId="1" applyFont="1" applyFill="1" applyBorder="1" applyAlignment="1" applyProtection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 wrapText="1"/>
    </xf>
    <xf numFmtId="2" fontId="9" fillId="0" borderId="1" xfId="0" applyNumberFormat="1" applyFont="1" applyFill="1" applyBorder="1" applyAlignment="1">
      <alignment horizontal="center" vertical="center" wrapText="1"/>
    </xf>
    <xf numFmtId="49" fontId="15" fillId="0" borderId="1" xfId="0" applyNumberFormat="1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2" fontId="15" fillId="0" borderId="1" xfId="0" applyNumberFormat="1" applyFont="1" applyFill="1" applyBorder="1" applyAlignment="1">
      <alignment horizontal="center" vertical="center" wrapText="1"/>
    </xf>
    <xf numFmtId="2" fontId="15" fillId="0" borderId="1" xfId="2" applyNumberFormat="1" applyFont="1" applyFill="1" applyBorder="1" applyAlignment="1">
      <alignment horizontal="center" vertical="center" wrapText="1"/>
    </xf>
    <xf numFmtId="2" fontId="15" fillId="0" borderId="1" xfId="0" applyNumberFormat="1" applyFont="1" applyFill="1" applyBorder="1" applyAlignment="1">
      <alignment horizontal="center" vertical="center"/>
    </xf>
    <xf numFmtId="2" fontId="15" fillId="0" borderId="1" xfId="0" applyNumberFormat="1" applyFont="1" applyFill="1" applyBorder="1" applyAlignment="1" applyProtection="1">
      <alignment horizontal="center" vertical="center" wrapText="1"/>
      <protection locked="0"/>
    </xf>
    <xf numFmtId="2" fontId="15" fillId="0" borderId="1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Alignment="1">
      <alignment horizontal="center"/>
    </xf>
    <xf numFmtId="0" fontId="15" fillId="0" borderId="1" xfId="0" applyFont="1" applyFill="1" applyBorder="1" applyAlignment="1" applyProtection="1">
      <alignment horizontal="center" vertical="center" wrapText="1"/>
      <protection locked="0"/>
    </xf>
    <xf numFmtId="0" fontId="13" fillId="0" borderId="1" xfId="1" applyFont="1" applyFill="1" applyBorder="1" applyAlignment="1" applyProtection="1">
      <alignment horizontal="center" vertical="center" wrapText="1"/>
      <protection locked="0"/>
    </xf>
    <xf numFmtId="0" fontId="10" fillId="0" borderId="1" xfId="1" applyFont="1" applyFill="1" applyBorder="1" applyAlignment="1" applyProtection="1">
      <alignment horizontal="center" vertical="center" wrapText="1"/>
    </xf>
    <xf numFmtId="0" fontId="13" fillId="0" borderId="1" xfId="1" applyFont="1" applyFill="1" applyBorder="1" applyAlignment="1" applyProtection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6" fillId="0" borderId="1" xfId="1" applyFill="1" applyBorder="1" applyAlignment="1">
      <alignment horizontal="center" vertical="center"/>
    </xf>
    <xf numFmtId="0" fontId="6" fillId="0" borderId="1" xfId="1" applyFill="1" applyBorder="1" applyAlignment="1" applyProtection="1">
      <alignment horizontal="center" vertical="center"/>
    </xf>
    <xf numFmtId="0" fontId="10" fillId="0" borderId="1" xfId="1" applyFont="1" applyFill="1" applyBorder="1" applyAlignment="1" applyProtection="1">
      <alignment horizontal="center" vertical="center" wrapText="1"/>
      <protection locked="0"/>
    </xf>
    <xf numFmtId="0" fontId="10" fillId="0" borderId="1" xfId="1" applyFont="1" applyFill="1" applyBorder="1" applyAlignment="1">
      <alignment horizontal="center" vertical="center" wrapText="1"/>
    </xf>
    <xf numFmtId="0" fontId="15" fillId="0" borderId="1" xfId="2" applyFont="1" applyFill="1" applyBorder="1" applyAlignment="1">
      <alignment horizontal="center" vertical="center" wrapText="1"/>
    </xf>
    <xf numFmtId="0" fontId="6" fillId="0" borderId="1" xfId="1" applyBorder="1" applyAlignment="1" applyProtection="1">
      <alignment horizontal="center" vertical="center"/>
      <protection locked="0"/>
    </xf>
    <xf numFmtId="0" fontId="6" fillId="0" borderId="1" xfId="1" applyBorder="1" applyAlignment="1" applyProtection="1">
      <alignment horizontal="center" vertical="center"/>
    </xf>
    <xf numFmtId="0" fontId="6" fillId="0" borderId="1" xfId="1" applyBorder="1" applyAlignment="1">
      <alignment horizontal="center" vertical="center"/>
    </xf>
    <xf numFmtId="0" fontId="6" fillId="0" borderId="0" xfId="1" applyAlignment="1">
      <alignment horizontal="center" vertical="center"/>
    </xf>
    <xf numFmtId="2" fontId="20" fillId="0" borderId="1" xfId="0" applyNumberFormat="1" applyFont="1" applyBorder="1" applyAlignment="1">
      <alignment horizontal="center" vertical="center" wrapText="1"/>
    </xf>
    <xf numFmtId="2" fontId="20" fillId="0" borderId="1" xfId="0" applyNumberFormat="1" applyFont="1" applyBorder="1" applyAlignment="1">
      <alignment horizontal="center" vertical="center"/>
    </xf>
    <xf numFmtId="2" fontId="21" fillId="0" borderId="0" xfId="0" applyNumberFormat="1" applyFont="1" applyAlignment="1">
      <alignment horizontal="center"/>
    </xf>
    <xf numFmtId="0" fontId="3" fillId="0" borderId="0" xfId="0" applyFont="1" applyBorder="1"/>
    <xf numFmtId="2" fontId="15" fillId="0" borderId="0" xfId="0" applyNumberFormat="1" applyFont="1" applyFill="1" applyBorder="1" applyAlignment="1">
      <alignment horizontal="center" vertical="center" wrapText="1"/>
    </xf>
    <xf numFmtId="2" fontId="15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Border="1" applyAlignment="1">
      <alignment horizontal="left" vertical="center"/>
    </xf>
    <xf numFmtId="2" fontId="15" fillId="0" borderId="0" xfId="1" applyNumberFormat="1" applyFont="1" applyFill="1" applyBorder="1" applyAlignment="1" applyProtection="1">
      <alignment horizontal="center" vertical="center" wrapText="1"/>
    </xf>
    <xf numFmtId="2" fontId="15" fillId="0" borderId="0" xfId="2" applyNumberFormat="1" applyFont="1" applyFill="1" applyBorder="1" applyAlignment="1">
      <alignment horizontal="center" vertical="center" wrapText="1"/>
    </xf>
    <xf numFmtId="2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2" fontId="20" fillId="0" borderId="1" xfId="0" applyNumberFormat="1" applyFont="1" applyFill="1" applyBorder="1" applyAlignment="1">
      <alignment horizontal="center" vertical="center" wrapText="1"/>
    </xf>
    <xf numFmtId="0" fontId="6" fillId="0" borderId="1" xfId="1" applyFill="1" applyBorder="1" applyAlignment="1" applyProtection="1">
      <alignment horizontal="center" vertical="center"/>
      <protection locked="0"/>
    </xf>
    <xf numFmtId="0" fontId="15" fillId="0" borderId="1" xfId="0" applyNumberFormat="1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</cellXfs>
  <cellStyles count="4">
    <cellStyle name="Гиперссылка" xfId="1" builtinId="8"/>
    <cellStyle name="Обычный" xfId="0" builtinId="0"/>
    <cellStyle name="Обычный 2 2" xfId="2"/>
    <cellStyle name="Обычный 2 3" xf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94949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rasnodar.technoavia.ru/katalog/spetsodezhda/signalnaya_odezhda/3-244.htm" TargetMode="External"/><Relationship Id="rId13" Type="http://schemas.openxmlformats.org/officeDocument/2006/relationships/hyperlink" Target="https://krasnodar.technoavia.ru/katalog/padenie/Technoalp_by_Karam/20-913.htm" TargetMode="External"/><Relationship Id="rId3" Type="http://schemas.openxmlformats.org/officeDocument/2006/relationships/hyperlink" Target="https://krasnodar.technoavia.ru/katalog/spetsodezhda/letnyaya/3-943.htm" TargetMode="External"/><Relationship Id="rId7" Type="http://schemas.openxmlformats.org/officeDocument/2006/relationships/hyperlink" Target="https://krasnodar.technoavia.ru/katalog/spetsodezhda/vlago_zashita/3-218.htm" TargetMode="External"/><Relationship Id="rId12" Type="http://schemas.openxmlformats.org/officeDocument/2006/relationships/hyperlink" Target="https://krasnodar.technoavia.ru/katalog/padenie/vento/13-511.htm" TargetMode="External"/><Relationship Id="rId2" Type="http://schemas.openxmlformats.org/officeDocument/2006/relationships/hyperlink" Target="https://krasnodar.technoavia.ru/katalog/spetsodezhda/letnyaya/3-943.htm" TargetMode="External"/><Relationship Id="rId1" Type="http://schemas.openxmlformats.org/officeDocument/2006/relationships/hyperlink" Target="https://krasnodar.technoavia.ru/katalog/spetsodezhda/letnyaya/3-943.htm" TargetMode="External"/><Relationship Id="rId6" Type="http://schemas.openxmlformats.org/officeDocument/2006/relationships/hyperlink" Target="https://krasnodar.technoavia.ru/katalog/golovnye_ubory/8-023.htm" TargetMode="External"/><Relationship Id="rId11" Type="http://schemas.openxmlformats.org/officeDocument/2006/relationships/hyperlink" Target="https://krasnodar.technoavia.ru/katalog/spetsobuv/demisez_let/50-388.htm" TargetMode="External"/><Relationship Id="rId5" Type="http://schemas.openxmlformats.org/officeDocument/2006/relationships/hyperlink" Target="https://krasnodar.technoavia.ru/katalog/spetsodezhda/letnyaya/3-973.ht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krasnodar.technoavia.ru/katalog/spetsobuv/demisez_let/50-388.htm" TargetMode="External"/><Relationship Id="rId4" Type="http://schemas.openxmlformats.org/officeDocument/2006/relationships/hyperlink" Target="https://krasnodar.technoavia.ru/katalog/spetsodezhda/letnyaya/3-973.htm" TargetMode="External"/><Relationship Id="rId9" Type="http://schemas.openxmlformats.org/officeDocument/2006/relationships/hyperlink" Target="https://krasnodar.technoavia.ru/katalog/spetsodezhda/signalnaya_odezhda/3-244.htm" TargetMode="External"/><Relationship Id="rId14" Type="http://schemas.openxmlformats.org/officeDocument/2006/relationships/hyperlink" Target="https://krasnodar.technoavia.ru/katalog/padenie/vento/13-000.ht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krasnodar.technoavia.ru/katalog/spetsodezhda/letnyaya/3-550.htm" TargetMode="External"/><Relationship Id="rId3" Type="http://schemas.openxmlformats.org/officeDocument/2006/relationships/hyperlink" Target="https://www.technoavia.ru/product/1354" TargetMode="External"/><Relationship Id="rId7" Type="http://schemas.openxmlformats.org/officeDocument/2006/relationships/hyperlink" Target="https://www.technoavia.ru/product/1219" TargetMode="External"/><Relationship Id="rId2" Type="http://schemas.openxmlformats.org/officeDocument/2006/relationships/hyperlink" Target="https://amecon.ru/ochishchayushchaya-pasta-krem-dlya-ruk-bio-7-100-ml" TargetMode="External"/><Relationship Id="rId1" Type="http://schemas.openxmlformats.org/officeDocument/2006/relationships/hyperlink" Target="https://amecon.ru/krem-dlya-ruk-universalnyj-bio-7-100-ml" TargetMode="External"/><Relationship Id="rId6" Type="http://schemas.openxmlformats.org/officeDocument/2006/relationships/hyperlink" Target="https://krasnodar.technoavia.ru/katalog/spetsodezhda/letnyaya/3-145.htm" TargetMode="External"/><Relationship Id="rId5" Type="http://schemas.openxmlformats.org/officeDocument/2006/relationships/hyperlink" Target="https://www.technoavia.ru/product/181" TargetMode="External"/><Relationship Id="rId4" Type="http://schemas.openxmlformats.org/officeDocument/2006/relationships/hyperlink" Target="https://www.technoavia.ru/product/3072" TargetMode="Externa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H71"/>
  <sheetViews>
    <sheetView zoomScale="80" zoomScaleNormal="80" workbookViewId="0">
      <selection activeCell="D19" sqref="D19"/>
    </sheetView>
  </sheetViews>
  <sheetFormatPr defaultRowHeight="15" x14ac:dyDescent="0.25"/>
  <cols>
    <col min="1" max="1" width="6.140625" style="1" customWidth="1"/>
    <col min="2" max="2" width="36" style="1" customWidth="1"/>
    <col min="3" max="3" width="26.28515625" style="2" customWidth="1"/>
    <col min="4" max="4" width="20.42578125" style="2" customWidth="1"/>
    <col min="5" max="5" width="21.140625" style="2" customWidth="1"/>
    <col min="6" max="6" width="5.85546875" style="2" customWidth="1"/>
    <col min="7" max="7" width="11.42578125" style="7" customWidth="1"/>
    <col min="8" max="8" width="15.42578125" style="45" customWidth="1"/>
    <col min="9" max="9" width="12.140625" style="62" customWidth="1"/>
    <col min="10" max="11" width="13.7109375" style="2" customWidth="1"/>
    <col min="12" max="12" width="21.5703125" style="2" customWidth="1"/>
    <col min="13" max="13" width="9.140625" style="1" customWidth="1"/>
    <col min="14" max="14" width="27.5703125" style="1" customWidth="1"/>
    <col min="15" max="15" width="18.85546875" style="1" customWidth="1"/>
    <col min="16" max="1022" width="9.140625" style="1" customWidth="1"/>
    <col min="1023" max="1024" width="9.140625" customWidth="1"/>
  </cols>
  <sheetData>
    <row r="1" spans="1:12" x14ac:dyDescent="0.25">
      <c r="F1" s="82" t="s">
        <v>18</v>
      </c>
      <c r="G1" s="82"/>
      <c r="H1" s="82"/>
      <c r="I1" s="82"/>
      <c r="J1" s="82"/>
      <c r="K1" s="82"/>
      <c r="L1" s="82"/>
    </row>
    <row r="2" spans="1:12" x14ac:dyDescent="0.25">
      <c r="F2" s="82" t="s">
        <v>19</v>
      </c>
      <c r="G2" s="82"/>
      <c r="H2" s="82"/>
      <c r="I2" s="82"/>
      <c r="J2" s="82"/>
      <c r="K2" s="82"/>
      <c r="L2" s="82"/>
    </row>
    <row r="3" spans="1:12" x14ac:dyDescent="0.25">
      <c r="F3" s="82" t="s">
        <v>20</v>
      </c>
      <c r="G3" s="82"/>
      <c r="H3" s="82"/>
      <c r="I3" s="82"/>
      <c r="J3" s="82"/>
      <c r="K3" s="82"/>
      <c r="L3" s="82"/>
    </row>
    <row r="6" spans="1:12" ht="20.100000000000001" customHeight="1" x14ac:dyDescent="0.25">
      <c r="A6" s="85" t="s">
        <v>25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</row>
    <row r="7" spans="1:12" ht="20.100000000000001" customHeight="1" x14ac:dyDescent="0.25">
      <c r="A7" s="83" t="s">
        <v>0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</row>
    <row r="8" spans="1:12" ht="20.100000000000001" customHeight="1" x14ac:dyDescent="0.25">
      <c r="A8" s="78" t="s">
        <v>21</v>
      </c>
      <c r="B8" s="78"/>
      <c r="C8" s="78"/>
      <c r="D8" s="80"/>
      <c r="E8" s="80"/>
      <c r="F8" s="80"/>
      <c r="G8" s="80"/>
      <c r="H8" s="80"/>
      <c r="I8" s="80"/>
      <c r="J8" s="80"/>
      <c r="K8" s="80"/>
      <c r="L8" s="80"/>
    </row>
    <row r="9" spans="1:12" s="3" customFormat="1" ht="20.100000000000001" customHeight="1" x14ac:dyDescent="0.25">
      <c r="A9" s="80" t="s">
        <v>1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</row>
    <row r="10" spans="1:12" s="3" customFormat="1" ht="20.100000000000001" customHeight="1" x14ac:dyDescent="0.25">
      <c r="A10" s="78" t="s">
        <v>2</v>
      </c>
      <c r="B10" s="78"/>
      <c r="C10" s="78"/>
      <c r="D10" s="81" t="s">
        <v>56</v>
      </c>
      <c r="E10" s="81"/>
      <c r="F10" s="81"/>
      <c r="G10" s="81"/>
      <c r="H10" s="81"/>
      <c r="I10" s="81"/>
      <c r="J10" s="81"/>
      <c r="K10" s="81"/>
      <c r="L10" s="81"/>
    </row>
    <row r="11" spans="1:12" s="3" customFormat="1" ht="20.100000000000001" customHeight="1" x14ac:dyDescent="0.25">
      <c r="A11" s="78" t="s">
        <v>3</v>
      </c>
      <c r="B11" s="78"/>
      <c r="C11" s="78"/>
      <c r="D11" s="81" t="s">
        <v>55</v>
      </c>
      <c r="E11" s="81"/>
      <c r="F11" s="81"/>
      <c r="G11" s="81"/>
      <c r="H11" s="81"/>
      <c r="I11" s="81"/>
      <c r="J11" s="81"/>
      <c r="K11" s="81"/>
      <c r="L11" s="81"/>
    </row>
    <row r="12" spans="1:12" s="3" customFormat="1" ht="20.100000000000001" customHeight="1" x14ac:dyDescent="0.25">
      <c r="A12" s="78" t="s">
        <v>4</v>
      </c>
      <c r="B12" s="78"/>
      <c r="C12" s="78"/>
      <c r="D12" s="81" t="s">
        <v>54</v>
      </c>
      <c r="E12" s="81"/>
      <c r="F12" s="81"/>
      <c r="G12" s="81"/>
      <c r="H12" s="81"/>
      <c r="I12" s="81"/>
      <c r="J12" s="81"/>
      <c r="K12" s="81"/>
      <c r="L12" s="81"/>
    </row>
    <row r="13" spans="1:12" s="3" customFormat="1" ht="22.5" customHeight="1" x14ac:dyDescent="0.25">
      <c r="A13" s="80" t="s">
        <v>5</v>
      </c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</row>
    <row r="14" spans="1:12" s="3" customFormat="1" ht="20.100000000000001" customHeight="1" x14ac:dyDescent="0.25">
      <c r="A14" s="78" t="s">
        <v>6</v>
      </c>
      <c r="B14" s="78"/>
      <c r="C14" s="78"/>
      <c r="D14" s="79" t="s">
        <v>57</v>
      </c>
      <c r="E14" s="79"/>
      <c r="F14" s="79"/>
      <c r="G14" s="79"/>
      <c r="H14" s="79"/>
      <c r="I14" s="79"/>
      <c r="J14" s="79"/>
      <c r="K14" s="79"/>
      <c r="L14" s="79"/>
    </row>
    <row r="15" spans="1:12" s="3" customFormat="1" ht="38.25" customHeight="1" x14ac:dyDescent="0.25">
      <c r="A15" s="78" t="s">
        <v>7</v>
      </c>
      <c r="B15" s="78"/>
      <c r="C15" s="78"/>
      <c r="D15" s="79" t="s">
        <v>58</v>
      </c>
      <c r="E15" s="79"/>
      <c r="F15" s="79"/>
      <c r="G15" s="79"/>
      <c r="H15" s="79"/>
      <c r="I15" s="79"/>
      <c r="J15" s="79"/>
      <c r="K15" s="79"/>
      <c r="L15" s="79"/>
    </row>
    <row r="16" spans="1:12" s="3" customFormat="1" ht="51.75" customHeight="1" x14ac:dyDescent="0.25">
      <c r="A16" s="78" t="s">
        <v>22</v>
      </c>
      <c r="B16" s="78"/>
      <c r="C16" s="78"/>
      <c r="D16" s="79"/>
      <c r="E16" s="79"/>
      <c r="F16" s="79"/>
      <c r="G16" s="79"/>
      <c r="H16" s="79"/>
      <c r="I16" s="79"/>
      <c r="J16" s="79"/>
      <c r="K16" s="79"/>
      <c r="L16" s="79"/>
    </row>
    <row r="17" spans="1:1022" s="3" customFormat="1" ht="27.75" customHeight="1" x14ac:dyDescent="0.25">
      <c r="A17" s="78" t="s">
        <v>8</v>
      </c>
      <c r="B17" s="78"/>
      <c r="C17" s="78"/>
      <c r="D17" s="79" t="s">
        <v>59</v>
      </c>
      <c r="E17" s="79"/>
      <c r="F17" s="79"/>
      <c r="G17" s="79"/>
      <c r="H17" s="79"/>
      <c r="I17" s="79"/>
      <c r="J17" s="79"/>
      <c r="K17" s="79"/>
      <c r="L17" s="79"/>
    </row>
    <row r="18" spans="1:1022" s="3" customFormat="1" ht="73.5" customHeight="1" x14ac:dyDescent="0.25">
      <c r="A18" s="4" t="s">
        <v>9</v>
      </c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38" t="s">
        <v>15</v>
      </c>
      <c r="H18" s="39" t="s">
        <v>16</v>
      </c>
      <c r="I18" s="60" t="s">
        <v>17</v>
      </c>
      <c r="J18" s="38" t="s">
        <v>26</v>
      </c>
      <c r="K18" s="38" t="s">
        <v>23</v>
      </c>
      <c r="L18" s="38" t="s">
        <v>27</v>
      </c>
      <c r="N18" s="63"/>
      <c r="O18" s="63"/>
    </row>
    <row r="19" spans="1:1022" s="14" customFormat="1" ht="76.5" customHeight="1" x14ac:dyDescent="0.25">
      <c r="A19" s="8">
        <v>1</v>
      </c>
      <c r="B19" s="10" t="s">
        <v>31</v>
      </c>
      <c r="C19" s="46" t="s">
        <v>32</v>
      </c>
      <c r="D19" s="56" t="s">
        <v>30</v>
      </c>
      <c r="E19" s="9" t="s">
        <v>39</v>
      </c>
      <c r="F19" s="10" t="s">
        <v>29</v>
      </c>
      <c r="G19" s="40">
        <v>3</v>
      </c>
      <c r="H19" s="43" t="s">
        <v>41</v>
      </c>
      <c r="I19" s="40">
        <v>21768</v>
      </c>
      <c r="J19" s="40"/>
      <c r="K19" s="40"/>
      <c r="L19" s="40"/>
      <c r="M19" s="12"/>
      <c r="N19" s="64"/>
      <c r="O19" s="13"/>
      <c r="P19" s="13"/>
      <c r="Q19" s="13"/>
      <c r="R19" s="13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</row>
    <row r="20" spans="1:1022" s="14" customFormat="1" ht="62.1" customHeight="1" x14ac:dyDescent="0.25">
      <c r="A20" s="8">
        <v>2</v>
      </c>
      <c r="B20" s="17" t="s">
        <v>31</v>
      </c>
      <c r="C20" s="17" t="s">
        <v>33</v>
      </c>
      <c r="D20" s="56" t="s">
        <v>30</v>
      </c>
      <c r="E20" s="9" t="s">
        <v>39</v>
      </c>
      <c r="F20" s="10" t="s">
        <v>29</v>
      </c>
      <c r="G20" s="40">
        <v>1</v>
      </c>
      <c r="H20" s="43" t="s">
        <v>41</v>
      </c>
      <c r="I20" s="43">
        <v>7256</v>
      </c>
      <c r="J20" s="40"/>
      <c r="K20" s="40"/>
      <c r="L20" s="40"/>
      <c r="M20" s="12"/>
      <c r="N20" s="64"/>
      <c r="O20" s="13"/>
      <c r="P20" s="13"/>
      <c r="Q20" s="13"/>
      <c r="R20" s="13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</row>
    <row r="21" spans="1:1022" s="14" customFormat="1" ht="62.1" customHeight="1" x14ac:dyDescent="0.25">
      <c r="A21" s="8">
        <v>3</v>
      </c>
      <c r="B21" s="17" t="s">
        <v>31</v>
      </c>
      <c r="C21" s="17" t="s">
        <v>28</v>
      </c>
      <c r="D21" s="57" t="s">
        <v>30</v>
      </c>
      <c r="E21" s="9" t="s">
        <v>39</v>
      </c>
      <c r="F21" s="10" t="s">
        <v>29</v>
      </c>
      <c r="G21" s="40">
        <v>1</v>
      </c>
      <c r="H21" s="43" t="s">
        <v>41</v>
      </c>
      <c r="I21" s="43">
        <v>7256</v>
      </c>
      <c r="J21" s="40"/>
      <c r="K21" s="40"/>
      <c r="L21" s="40"/>
      <c r="M21" s="12"/>
      <c r="N21" s="65"/>
      <c r="O21" s="13"/>
      <c r="P21" s="13"/>
      <c r="Q21" s="13"/>
      <c r="R21" s="13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</row>
    <row r="22" spans="1:1022" s="14" customFormat="1" ht="62.1" customHeight="1" x14ac:dyDescent="0.25">
      <c r="A22" s="8">
        <v>4</v>
      </c>
      <c r="B22" s="17" t="s">
        <v>34</v>
      </c>
      <c r="C22" s="17" t="s">
        <v>32</v>
      </c>
      <c r="D22" s="57" t="s">
        <v>30</v>
      </c>
      <c r="E22" s="16" t="s">
        <v>40</v>
      </c>
      <c r="F22" s="10" t="s">
        <v>29</v>
      </c>
      <c r="G22" s="40">
        <v>3</v>
      </c>
      <c r="H22" s="44">
        <v>3973</v>
      </c>
      <c r="I22" s="40">
        <v>11919</v>
      </c>
      <c r="J22" s="40"/>
      <c r="K22" s="40"/>
      <c r="L22" s="40"/>
      <c r="M22" s="12"/>
      <c r="N22" s="64"/>
      <c r="O22" s="13"/>
      <c r="P22" s="13"/>
      <c r="Q22" s="13"/>
      <c r="R22" s="13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</row>
    <row r="23" spans="1:1022" s="14" customFormat="1" ht="62.1" customHeight="1" x14ac:dyDescent="0.25">
      <c r="A23" s="8">
        <v>5</v>
      </c>
      <c r="B23" s="27" t="s">
        <v>34</v>
      </c>
      <c r="C23" s="27" t="s">
        <v>33</v>
      </c>
      <c r="D23" s="57" t="s">
        <v>30</v>
      </c>
      <c r="E23" s="16" t="s">
        <v>40</v>
      </c>
      <c r="F23" s="10" t="s">
        <v>29</v>
      </c>
      <c r="G23" s="40">
        <v>1</v>
      </c>
      <c r="H23" s="44">
        <v>3973</v>
      </c>
      <c r="I23" s="44">
        <v>3973</v>
      </c>
      <c r="J23" s="40"/>
      <c r="K23" s="40"/>
      <c r="L23" s="40"/>
      <c r="M23" s="12"/>
      <c r="N23" s="64"/>
      <c r="O23" s="66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</row>
    <row r="24" spans="1:1022" s="14" customFormat="1" ht="62.1" customHeight="1" x14ac:dyDescent="0.25">
      <c r="A24" s="8">
        <v>6</v>
      </c>
      <c r="B24" s="17" t="s">
        <v>34</v>
      </c>
      <c r="C24" s="17" t="s">
        <v>28</v>
      </c>
      <c r="D24" s="57" t="s">
        <v>30</v>
      </c>
      <c r="E24" s="16" t="s">
        <v>40</v>
      </c>
      <c r="F24" s="10" t="s">
        <v>29</v>
      </c>
      <c r="G24" s="40">
        <v>1</v>
      </c>
      <c r="H24" s="44">
        <v>3973</v>
      </c>
      <c r="I24" s="44">
        <v>3973</v>
      </c>
      <c r="J24" s="40"/>
      <c r="K24" s="40"/>
      <c r="L24" s="40"/>
      <c r="M24" s="19"/>
      <c r="N24" s="67"/>
      <c r="O24" s="20"/>
      <c r="P24" s="20"/>
      <c r="Q24" s="20"/>
      <c r="R24" s="20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  <c r="IX24" s="19"/>
      <c r="IY24" s="19"/>
      <c r="IZ24" s="19"/>
      <c r="JA24" s="19"/>
      <c r="JB24" s="19"/>
      <c r="JC24" s="19"/>
      <c r="JD24" s="19"/>
      <c r="JE24" s="19"/>
      <c r="JF24" s="19"/>
      <c r="JG24" s="19"/>
      <c r="JH24" s="19"/>
      <c r="JI24" s="19"/>
      <c r="JJ24" s="19"/>
      <c r="JK24" s="19"/>
      <c r="JL24" s="19"/>
      <c r="JM24" s="19"/>
      <c r="JN24" s="19"/>
      <c r="JO24" s="19"/>
      <c r="JP24" s="19"/>
      <c r="JQ24" s="19"/>
      <c r="JR24" s="19"/>
      <c r="JS24" s="19"/>
      <c r="JT24" s="19"/>
      <c r="JU24" s="19"/>
      <c r="JV24" s="19"/>
      <c r="JW24" s="19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U24" s="19"/>
      <c r="KV24" s="19"/>
      <c r="KW24" s="19"/>
      <c r="KX24" s="19"/>
      <c r="KY24" s="19"/>
      <c r="KZ24" s="19"/>
      <c r="LA24" s="19"/>
      <c r="LB24" s="19"/>
      <c r="LC24" s="19"/>
      <c r="LD24" s="19"/>
      <c r="LE24" s="19"/>
      <c r="LF24" s="19"/>
      <c r="LG24" s="19"/>
      <c r="LH24" s="19"/>
      <c r="LI24" s="19"/>
      <c r="LJ24" s="19"/>
      <c r="LK24" s="19"/>
      <c r="LL24" s="19"/>
      <c r="LM24" s="19"/>
      <c r="LN24" s="19"/>
      <c r="LO24" s="19"/>
      <c r="LP24" s="19"/>
      <c r="LQ24" s="19"/>
      <c r="LR24" s="19"/>
      <c r="LS24" s="19"/>
      <c r="LT24" s="19"/>
      <c r="LU24" s="19"/>
      <c r="LV24" s="19"/>
      <c r="LW24" s="19"/>
      <c r="LX24" s="19"/>
      <c r="LY24" s="19"/>
      <c r="LZ24" s="19"/>
      <c r="MA24" s="19"/>
      <c r="MB24" s="19"/>
      <c r="MC24" s="19"/>
      <c r="MD24" s="19"/>
      <c r="ME24" s="19"/>
      <c r="MF24" s="19"/>
      <c r="MG24" s="19"/>
      <c r="MH24" s="19"/>
      <c r="MI24" s="19"/>
      <c r="MJ24" s="19"/>
      <c r="MK24" s="19"/>
      <c r="ML24" s="19"/>
      <c r="MM24" s="19"/>
      <c r="MN24" s="19"/>
      <c r="MO24" s="19"/>
      <c r="MP24" s="19"/>
      <c r="MQ24" s="19"/>
      <c r="MR24" s="19"/>
      <c r="MS24" s="19"/>
      <c r="MT24" s="19"/>
      <c r="MU24" s="19"/>
      <c r="MV24" s="19"/>
      <c r="MW24" s="19"/>
      <c r="MX24" s="19"/>
      <c r="MY24" s="19"/>
      <c r="MZ24" s="19"/>
      <c r="NA24" s="19"/>
      <c r="NB24" s="19"/>
      <c r="NC24" s="19"/>
      <c r="ND24" s="19"/>
      <c r="NE24" s="19"/>
      <c r="NF24" s="19"/>
      <c r="NG24" s="19"/>
      <c r="NH24" s="19"/>
      <c r="NI24" s="19"/>
      <c r="NJ24" s="19"/>
      <c r="NK24" s="19"/>
      <c r="NL24" s="19"/>
      <c r="NM24" s="19"/>
      <c r="NN24" s="19"/>
      <c r="NO24" s="19"/>
      <c r="NP24" s="19"/>
      <c r="NQ24" s="19"/>
      <c r="NR24" s="19"/>
      <c r="NS24" s="19"/>
      <c r="NT24" s="19"/>
      <c r="NU24" s="19"/>
      <c r="NV24" s="19"/>
      <c r="NW24" s="19"/>
      <c r="NX24" s="19"/>
      <c r="NY24" s="19"/>
      <c r="NZ24" s="19"/>
      <c r="OA24" s="19"/>
      <c r="OB24" s="19"/>
      <c r="OC24" s="19"/>
      <c r="OD24" s="19"/>
      <c r="OE24" s="19"/>
      <c r="OF24" s="19"/>
      <c r="OG24" s="19"/>
      <c r="OH24" s="19"/>
      <c r="OI24" s="19"/>
      <c r="OJ24" s="19"/>
      <c r="OK24" s="19"/>
      <c r="OL24" s="19"/>
      <c r="OM24" s="19"/>
      <c r="ON24" s="19"/>
      <c r="OO24" s="19"/>
      <c r="OP24" s="19"/>
      <c r="OQ24" s="19"/>
      <c r="OR24" s="19"/>
      <c r="OS24" s="19"/>
      <c r="OT24" s="19"/>
      <c r="OU24" s="19"/>
      <c r="OV24" s="19"/>
      <c r="OW24" s="19"/>
      <c r="OX24" s="19"/>
      <c r="OY24" s="19"/>
      <c r="OZ24" s="19"/>
      <c r="PA24" s="19"/>
      <c r="PB24" s="19"/>
      <c r="PC24" s="19"/>
      <c r="PD24" s="19"/>
      <c r="PE24" s="19"/>
      <c r="PF24" s="19"/>
      <c r="PG24" s="19"/>
      <c r="PH24" s="19"/>
      <c r="PI24" s="19"/>
      <c r="PJ24" s="19"/>
      <c r="PK24" s="19"/>
      <c r="PL24" s="19"/>
      <c r="PM24" s="19"/>
      <c r="PN24" s="19"/>
      <c r="PO24" s="19"/>
      <c r="PP24" s="19"/>
      <c r="PQ24" s="19"/>
      <c r="PR24" s="19"/>
      <c r="PS24" s="19"/>
      <c r="PT24" s="19"/>
      <c r="PU24" s="19"/>
      <c r="PV24" s="19"/>
      <c r="PW24" s="19"/>
      <c r="PX24" s="19"/>
      <c r="PY24" s="19"/>
      <c r="PZ24" s="19"/>
      <c r="QA24" s="19"/>
      <c r="QB24" s="19"/>
      <c r="QC24" s="19"/>
      <c r="QD24" s="19"/>
      <c r="QE24" s="19"/>
      <c r="QF24" s="19"/>
      <c r="QG24" s="19"/>
      <c r="QH24" s="19"/>
      <c r="QI24" s="19"/>
      <c r="QJ24" s="19"/>
      <c r="QK24" s="19"/>
      <c r="QL24" s="19"/>
      <c r="QM24" s="19"/>
      <c r="QN24" s="19"/>
      <c r="QO24" s="19"/>
      <c r="QP24" s="19"/>
      <c r="QQ24" s="19"/>
      <c r="QR24" s="19"/>
      <c r="QS24" s="19"/>
      <c r="QT24" s="19"/>
      <c r="QU24" s="19"/>
      <c r="QV24" s="19"/>
      <c r="QW24" s="19"/>
      <c r="QX24" s="19"/>
      <c r="QY24" s="19"/>
      <c r="QZ24" s="19"/>
      <c r="RA24" s="19"/>
      <c r="RB24" s="19"/>
      <c r="RC24" s="19"/>
      <c r="RD24" s="19"/>
      <c r="RE24" s="19"/>
      <c r="RF24" s="19"/>
      <c r="RG24" s="19"/>
      <c r="RH24" s="19"/>
      <c r="RI24" s="19"/>
      <c r="RJ24" s="19"/>
      <c r="RK24" s="19"/>
      <c r="RL24" s="19"/>
      <c r="RM24" s="19"/>
      <c r="RN24" s="19"/>
      <c r="RO24" s="19"/>
      <c r="RP24" s="19"/>
      <c r="RQ24" s="19"/>
      <c r="RR24" s="19"/>
      <c r="RS24" s="19"/>
      <c r="RT24" s="19"/>
      <c r="RU24" s="19"/>
      <c r="RV24" s="19"/>
      <c r="RW24" s="19"/>
      <c r="RX24" s="19"/>
      <c r="RY24" s="19"/>
      <c r="RZ24" s="19"/>
      <c r="SA24" s="19"/>
      <c r="SB24" s="19"/>
      <c r="SC24" s="19"/>
      <c r="SD24" s="19"/>
      <c r="SE24" s="19"/>
      <c r="SF24" s="19"/>
      <c r="SG24" s="19"/>
      <c r="SH24" s="19"/>
      <c r="SI24" s="19"/>
      <c r="SJ24" s="19"/>
      <c r="SK24" s="19"/>
      <c r="SL24" s="19"/>
      <c r="SM24" s="19"/>
      <c r="SN24" s="19"/>
      <c r="SO24" s="19"/>
      <c r="SP24" s="19"/>
      <c r="SQ24" s="19"/>
      <c r="SR24" s="19"/>
      <c r="SS24" s="19"/>
      <c r="ST24" s="19"/>
      <c r="SU24" s="19"/>
      <c r="SV24" s="19"/>
      <c r="SW24" s="19"/>
      <c r="SX24" s="19"/>
      <c r="SY24" s="19"/>
      <c r="SZ24" s="19"/>
      <c r="TA24" s="19"/>
      <c r="TB24" s="19"/>
      <c r="TC24" s="19"/>
      <c r="TD24" s="19"/>
      <c r="TE24" s="19"/>
      <c r="TF24" s="19"/>
      <c r="TG24" s="19"/>
      <c r="TH24" s="19"/>
      <c r="TI24" s="19"/>
      <c r="TJ24" s="19"/>
      <c r="TK24" s="19"/>
      <c r="TL24" s="19"/>
      <c r="TM24" s="19"/>
      <c r="TN24" s="19"/>
      <c r="TO24" s="19"/>
      <c r="TP24" s="19"/>
      <c r="TQ24" s="19"/>
      <c r="TR24" s="19"/>
      <c r="TS24" s="19"/>
      <c r="TT24" s="19"/>
      <c r="TU24" s="19"/>
      <c r="TV24" s="19"/>
      <c r="TW24" s="19"/>
      <c r="TX24" s="19"/>
      <c r="TY24" s="19"/>
      <c r="TZ24" s="19"/>
      <c r="UA24" s="19"/>
      <c r="UB24" s="19"/>
      <c r="UC24" s="19"/>
      <c r="UD24" s="19"/>
      <c r="UE24" s="19"/>
      <c r="UF24" s="19"/>
      <c r="UG24" s="19"/>
      <c r="UH24" s="19"/>
      <c r="UI24" s="19"/>
      <c r="UJ24" s="19"/>
      <c r="UK24" s="19"/>
      <c r="UL24" s="19"/>
      <c r="UM24" s="19"/>
      <c r="UN24" s="19"/>
      <c r="UO24" s="19"/>
      <c r="UP24" s="19"/>
      <c r="UQ24" s="19"/>
      <c r="UR24" s="19"/>
      <c r="US24" s="19"/>
      <c r="UT24" s="19"/>
      <c r="UU24" s="19"/>
      <c r="UV24" s="19"/>
      <c r="UW24" s="19"/>
      <c r="UX24" s="19"/>
      <c r="UY24" s="19"/>
      <c r="UZ24" s="19"/>
      <c r="VA24" s="19"/>
      <c r="VB24" s="19"/>
      <c r="VC24" s="19"/>
      <c r="VD24" s="19"/>
      <c r="VE24" s="19"/>
      <c r="VF24" s="19"/>
      <c r="VG24" s="19"/>
      <c r="VH24" s="19"/>
      <c r="VI24" s="19"/>
      <c r="VJ24" s="19"/>
      <c r="VK24" s="19"/>
      <c r="VL24" s="19"/>
      <c r="VM24" s="19"/>
      <c r="VN24" s="19"/>
      <c r="VO24" s="19"/>
      <c r="VP24" s="19"/>
      <c r="VQ24" s="19"/>
      <c r="VR24" s="19"/>
      <c r="VS24" s="19"/>
      <c r="VT24" s="19"/>
      <c r="VU24" s="19"/>
      <c r="VV24" s="19"/>
      <c r="VW24" s="19"/>
      <c r="VX24" s="19"/>
      <c r="VY24" s="19"/>
      <c r="VZ24" s="19"/>
      <c r="WA24" s="19"/>
      <c r="WB24" s="19"/>
      <c r="WC24" s="19"/>
      <c r="WD24" s="19"/>
      <c r="WE24" s="19"/>
      <c r="WF24" s="19"/>
      <c r="WG24" s="19"/>
      <c r="WH24" s="19"/>
      <c r="WI24" s="19"/>
      <c r="WJ24" s="19"/>
      <c r="WK24" s="19"/>
      <c r="WL24" s="19"/>
      <c r="WM24" s="19"/>
      <c r="WN24" s="19"/>
      <c r="WO24" s="19"/>
      <c r="WP24" s="19"/>
      <c r="WQ24" s="19"/>
      <c r="WR24" s="19"/>
      <c r="WS24" s="19"/>
      <c r="WT24" s="19"/>
      <c r="WU24" s="19"/>
      <c r="WV24" s="19"/>
      <c r="WW24" s="19"/>
      <c r="WX24" s="19"/>
      <c r="WY24" s="19"/>
      <c r="WZ24" s="19"/>
      <c r="XA24" s="19"/>
      <c r="XB24" s="19"/>
      <c r="XC24" s="19"/>
      <c r="XD24" s="19"/>
      <c r="XE24" s="19"/>
      <c r="XF24" s="19"/>
      <c r="XG24" s="19"/>
      <c r="XH24" s="19"/>
      <c r="XI24" s="19"/>
      <c r="XJ24" s="19"/>
      <c r="XK24" s="19"/>
      <c r="XL24" s="19"/>
      <c r="XM24" s="19"/>
      <c r="XN24" s="19"/>
      <c r="XO24" s="19"/>
      <c r="XP24" s="19"/>
      <c r="XQ24" s="19"/>
      <c r="XR24" s="19"/>
      <c r="XS24" s="19"/>
      <c r="XT24" s="19"/>
      <c r="XU24" s="19"/>
      <c r="XV24" s="19"/>
      <c r="XW24" s="19"/>
      <c r="XX24" s="19"/>
      <c r="XY24" s="19"/>
      <c r="XZ24" s="19"/>
      <c r="YA24" s="19"/>
      <c r="YB24" s="19"/>
      <c r="YC24" s="19"/>
      <c r="YD24" s="19"/>
      <c r="YE24" s="19"/>
      <c r="YF24" s="19"/>
      <c r="YG24" s="19"/>
      <c r="YH24" s="19"/>
      <c r="YI24" s="19"/>
      <c r="YJ24" s="19"/>
      <c r="YK24" s="19"/>
      <c r="YL24" s="19"/>
      <c r="YM24" s="19"/>
      <c r="YN24" s="19"/>
      <c r="YO24" s="19"/>
      <c r="YP24" s="19"/>
      <c r="YQ24" s="19"/>
      <c r="YR24" s="19"/>
      <c r="YS24" s="19"/>
      <c r="YT24" s="19"/>
      <c r="YU24" s="19"/>
      <c r="YV24" s="19"/>
      <c r="YW24" s="19"/>
      <c r="YX24" s="19"/>
      <c r="YY24" s="19"/>
      <c r="YZ24" s="19"/>
      <c r="ZA24" s="19"/>
      <c r="ZB24" s="19"/>
      <c r="ZC24" s="19"/>
      <c r="ZD24" s="19"/>
      <c r="ZE24" s="19"/>
      <c r="ZF24" s="19"/>
      <c r="ZG24" s="19"/>
      <c r="ZH24" s="19"/>
      <c r="ZI24" s="19"/>
      <c r="ZJ24" s="19"/>
      <c r="ZK24" s="19"/>
      <c r="ZL24" s="19"/>
      <c r="ZM24" s="19"/>
      <c r="ZN24" s="19"/>
      <c r="ZO24" s="19"/>
      <c r="ZP24" s="19"/>
      <c r="ZQ24" s="19"/>
      <c r="ZR24" s="19"/>
      <c r="ZS24" s="19"/>
      <c r="ZT24" s="19"/>
      <c r="ZU24" s="19"/>
      <c r="ZV24" s="19"/>
      <c r="ZW24" s="19"/>
      <c r="ZX24" s="19"/>
      <c r="ZY24" s="19"/>
      <c r="ZZ24" s="19"/>
      <c r="AAA24" s="19"/>
      <c r="AAB24" s="19"/>
      <c r="AAC24" s="19"/>
      <c r="AAD24" s="19"/>
      <c r="AAE24" s="19"/>
      <c r="AAF24" s="19"/>
      <c r="AAG24" s="19"/>
      <c r="AAH24" s="19"/>
      <c r="AAI24" s="19"/>
      <c r="AAJ24" s="19"/>
      <c r="AAK24" s="19"/>
      <c r="AAL24" s="19"/>
      <c r="AAM24" s="19"/>
      <c r="AAN24" s="19"/>
      <c r="AAO24" s="19"/>
      <c r="AAP24" s="19"/>
      <c r="AAQ24" s="19"/>
      <c r="AAR24" s="19"/>
      <c r="AAS24" s="19"/>
      <c r="AAT24" s="19"/>
      <c r="AAU24" s="19"/>
      <c r="AAV24" s="19"/>
      <c r="AAW24" s="19"/>
      <c r="AAX24" s="19"/>
      <c r="AAY24" s="19"/>
      <c r="AAZ24" s="19"/>
      <c r="ABA24" s="19"/>
      <c r="ABB24" s="19"/>
      <c r="ABC24" s="19"/>
      <c r="ABD24" s="19"/>
      <c r="ABE24" s="19"/>
      <c r="ABF24" s="19"/>
      <c r="ABG24" s="19"/>
      <c r="ABH24" s="19"/>
      <c r="ABI24" s="19"/>
      <c r="ABJ24" s="19"/>
      <c r="ABK24" s="19"/>
      <c r="ABL24" s="19"/>
      <c r="ABM24" s="19"/>
      <c r="ABN24" s="19"/>
      <c r="ABO24" s="19"/>
      <c r="ABP24" s="19"/>
      <c r="ABQ24" s="19"/>
      <c r="ABR24" s="19"/>
      <c r="ABS24" s="19"/>
      <c r="ABT24" s="19"/>
      <c r="ABU24" s="19"/>
      <c r="ABV24" s="19"/>
      <c r="ABW24" s="19"/>
      <c r="ABX24" s="19"/>
      <c r="ABY24" s="19"/>
      <c r="ABZ24" s="19"/>
      <c r="ACA24" s="19"/>
      <c r="ACB24" s="19"/>
      <c r="ACC24" s="19"/>
      <c r="ACD24" s="19"/>
      <c r="ACE24" s="19"/>
      <c r="ACF24" s="19"/>
      <c r="ACG24" s="19"/>
      <c r="ACH24" s="19"/>
      <c r="ACI24" s="19"/>
      <c r="ACJ24" s="19"/>
      <c r="ACK24" s="19"/>
      <c r="ACL24" s="19"/>
      <c r="ACM24" s="19"/>
      <c r="ACN24" s="19"/>
      <c r="ACO24" s="19"/>
      <c r="ACP24" s="19"/>
      <c r="ACQ24" s="19"/>
      <c r="ACR24" s="19"/>
      <c r="ACS24" s="19"/>
      <c r="ACT24" s="19"/>
      <c r="ACU24" s="19"/>
      <c r="ACV24" s="19"/>
      <c r="ACW24" s="19"/>
      <c r="ACX24" s="19"/>
      <c r="ACY24" s="19"/>
      <c r="ACZ24" s="19"/>
      <c r="ADA24" s="19"/>
      <c r="ADB24" s="19"/>
      <c r="ADC24" s="19"/>
      <c r="ADD24" s="19"/>
      <c r="ADE24" s="19"/>
      <c r="ADF24" s="19"/>
      <c r="ADG24" s="19"/>
      <c r="ADH24" s="19"/>
      <c r="ADI24" s="19"/>
      <c r="ADJ24" s="19"/>
      <c r="ADK24" s="19"/>
      <c r="ADL24" s="19"/>
      <c r="ADM24" s="19"/>
      <c r="ADN24" s="19"/>
      <c r="ADO24" s="19"/>
      <c r="ADP24" s="19"/>
      <c r="ADQ24" s="19"/>
      <c r="ADR24" s="19"/>
      <c r="ADS24" s="19"/>
      <c r="ADT24" s="19"/>
      <c r="ADU24" s="19"/>
      <c r="ADV24" s="19"/>
      <c r="ADW24" s="19"/>
      <c r="ADX24" s="19"/>
      <c r="ADY24" s="19"/>
      <c r="ADZ24" s="19"/>
      <c r="AEA24" s="19"/>
      <c r="AEB24" s="19"/>
      <c r="AEC24" s="19"/>
      <c r="AED24" s="19"/>
      <c r="AEE24" s="19"/>
      <c r="AEF24" s="19"/>
      <c r="AEG24" s="19"/>
      <c r="AEH24" s="19"/>
      <c r="AEI24" s="19"/>
      <c r="AEJ24" s="19"/>
      <c r="AEK24" s="19"/>
      <c r="AEL24" s="19"/>
      <c r="AEM24" s="19"/>
      <c r="AEN24" s="19"/>
      <c r="AEO24" s="19"/>
      <c r="AEP24" s="19"/>
      <c r="AEQ24" s="19"/>
      <c r="AER24" s="19"/>
      <c r="AES24" s="19"/>
      <c r="AET24" s="19"/>
      <c r="AEU24" s="19"/>
      <c r="AEV24" s="19"/>
      <c r="AEW24" s="19"/>
      <c r="AEX24" s="19"/>
      <c r="AEY24" s="19"/>
      <c r="AEZ24" s="19"/>
      <c r="AFA24" s="19"/>
      <c r="AFB24" s="19"/>
      <c r="AFC24" s="19"/>
      <c r="AFD24" s="19"/>
      <c r="AFE24" s="19"/>
      <c r="AFF24" s="19"/>
      <c r="AFG24" s="19"/>
      <c r="AFH24" s="19"/>
      <c r="AFI24" s="19"/>
      <c r="AFJ24" s="19"/>
      <c r="AFK24" s="19"/>
      <c r="AFL24" s="19"/>
      <c r="AFM24" s="19"/>
      <c r="AFN24" s="19"/>
      <c r="AFO24" s="19"/>
      <c r="AFP24" s="19"/>
      <c r="AFQ24" s="19"/>
      <c r="AFR24" s="19"/>
      <c r="AFS24" s="19"/>
      <c r="AFT24" s="19"/>
      <c r="AFU24" s="19"/>
      <c r="AFV24" s="19"/>
      <c r="AFW24" s="19"/>
      <c r="AFX24" s="19"/>
      <c r="AFY24" s="19"/>
      <c r="AFZ24" s="19"/>
      <c r="AGA24" s="19"/>
      <c r="AGB24" s="19"/>
      <c r="AGC24" s="19"/>
      <c r="AGD24" s="19"/>
      <c r="AGE24" s="19"/>
      <c r="AGF24" s="19"/>
      <c r="AGG24" s="19"/>
      <c r="AGH24" s="19"/>
      <c r="AGI24" s="19"/>
      <c r="AGJ24" s="19"/>
      <c r="AGK24" s="19"/>
      <c r="AGL24" s="19"/>
      <c r="AGM24" s="19"/>
      <c r="AGN24" s="19"/>
      <c r="AGO24" s="19"/>
      <c r="AGP24" s="19"/>
      <c r="AGQ24" s="19"/>
      <c r="AGR24" s="19"/>
      <c r="AGS24" s="19"/>
      <c r="AGT24" s="19"/>
      <c r="AGU24" s="19"/>
      <c r="AGV24" s="19"/>
      <c r="AGW24" s="19"/>
      <c r="AGX24" s="19"/>
      <c r="AGY24" s="19"/>
      <c r="AGZ24" s="19"/>
      <c r="AHA24" s="19"/>
      <c r="AHB24" s="19"/>
      <c r="AHC24" s="19"/>
      <c r="AHD24" s="19"/>
      <c r="AHE24" s="19"/>
      <c r="AHF24" s="19"/>
      <c r="AHG24" s="19"/>
      <c r="AHH24" s="19"/>
      <c r="AHI24" s="19"/>
      <c r="AHJ24" s="19"/>
      <c r="AHK24" s="19"/>
      <c r="AHL24" s="19"/>
      <c r="AHM24" s="19"/>
      <c r="AHN24" s="19"/>
      <c r="AHO24" s="19"/>
      <c r="AHP24" s="19"/>
      <c r="AHQ24" s="19"/>
      <c r="AHR24" s="19"/>
      <c r="AHS24" s="19"/>
      <c r="AHT24" s="19"/>
      <c r="AHU24" s="19"/>
      <c r="AHV24" s="19"/>
      <c r="AHW24" s="19"/>
      <c r="AHX24" s="19"/>
      <c r="AHY24" s="19"/>
      <c r="AHZ24" s="19"/>
      <c r="AIA24" s="19"/>
      <c r="AIB24" s="19"/>
      <c r="AIC24" s="19"/>
      <c r="AID24" s="19"/>
      <c r="AIE24" s="19"/>
      <c r="AIF24" s="19"/>
      <c r="AIG24" s="19"/>
      <c r="AIH24" s="19"/>
      <c r="AII24" s="19"/>
      <c r="AIJ24" s="19"/>
      <c r="AIK24" s="19"/>
      <c r="AIL24" s="19"/>
      <c r="AIM24" s="19"/>
      <c r="AIN24" s="19"/>
      <c r="AIO24" s="19"/>
      <c r="AIP24" s="19"/>
      <c r="AIQ24" s="19"/>
      <c r="AIR24" s="19"/>
      <c r="AIS24" s="19"/>
      <c r="AIT24" s="19"/>
      <c r="AIU24" s="19"/>
      <c r="AIV24" s="19"/>
      <c r="AIW24" s="19"/>
      <c r="AIX24" s="19"/>
      <c r="AIY24" s="19"/>
      <c r="AIZ24" s="19"/>
      <c r="AJA24" s="19"/>
      <c r="AJB24" s="19"/>
      <c r="AJC24" s="19"/>
      <c r="AJD24" s="19"/>
      <c r="AJE24" s="19"/>
      <c r="AJF24" s="19"/>
      <c r="AJG24" s="19"/>
      <c r="AJH24" s="19"/>
      <c r="AJI24" s="19"/>
      <c r="AJJ24" s="19"/>
      <c r="AJK24" s="19"/>
      <c r="AJL24" s="19"/>
      <c r="AJM24" s="19"/>
      <c r="AJN24" s="19"/>
      <c r="AJO24" s="19"/>
      <c r="AJP24" s="19"/>
      <c r="AJQ24" s="19"/>
      <c r="AJR24" s="19"/>
      <c r="AJS24" s="19"/>
      <c r="AJT24" s="19"/>
      <c r="AJU24" s="19"/>
      <c r="AJV24" s="19"/>
      <c r="AJW24" s="19"/>
      <c r="AJX24" s="19"/>
      <c r="AJY24" s="19"/>
      <c r="AJZ24" s="19"/>
      <c r="AKA24" s="19"/>
      <c r="AKB24" s="19"/>
      <c r="AKC24" s="19"/>
      <c r="AKD24" s="19"/>
      <c r="AKE24" s="19"/>
      <c r="AKF24" s="19"/>
      <c r="AKG24" s="19"/>
      <c r="AKH24" s="19"/>
      <c r="AKI24" s="19"/>
      <c r="AKJ24" s="19"/>
      <c r="AKK24" s="19"/>
      <c r="AKL24" s="19"/>
      <c r="AKM24" s="19"/>
      <c r="AKN24" s="19"/>
      <c r="AKO24" s="19"/>
      <c r="AKP24" s="19"/>
      <c r="AKQ24" s="19"/>
      <c r="AKR24" s="19"/>
      <c r="AKS24" s="19"/>
      <c r="AKT24" s="19"/>
      <c r="AKU24" s="19"/>
      <c r="AKV24" s="19"/>
      <c r="AKW24" s="19"/>
      <c r="AKX24" s="19"/>
      <c r="AKY24" s="19"/>
      <c r="AKZ24" s="19"/>
      <c r="ALA24" s="19"/>
      <c r="ALB24" s="19"/>
      <c r="ALC24" s="19"/>
      <c r="ALD24" s="19"/>
      <c r="ALE24" s="19"/>
      <c r="ALF24" s="19"/>
      <c r="ALG24" s="19"/>
      <c r="ALH24" s="19"/>
      <c r="ALI24" s="19"/>
      <c r="ALJ24" s="19"/>
      <c r="ALK24" s="19"/>
      <c r="ALL24" s="19"/>
      <c r="ALM24" s="19"/>
      <c r="ALN24" s="19"/>
      <c r="ALO24" s="19"/>
      <c r="ALP24" s="19"/>
      <c r="ALQ24" s="19"/>
      <c r="ALR24" s="19"/>
      <c r="ALS24" s="19"/>
      <c r="ALT24" s="19"/>
      <c r="ALU24" s="19"/>
      <c r="ALV24" s="19"/>
      <c r="ALW24" s="19"/>
      <c r="ALX24" s="19"/>
      <c r="ALY24" s="19"/>
      <c r="ALZ24" s="19"/>
      <c r="AMA24" s="19"/>
      <c r="AMB24" s="19"/>
      <c r="AMC24" s="19"/>
      <c r="AMD24" s="21"/>
      <c r="AME24" s="21"/>
      <c r="AMF24" s="21"/>
      <c r="AMG24" s="21"/>
      <c r="AMH24" s="21"/>
    </row>
    <row r="25" spans="1:1022" s="14" customFormat="1" ht="62.1" customHeight="1" x14ac:dyDescent="0.25">
      <c r="A25" s="8">
        <v>7</v>
      </c>
      <c r="B25" s="17" t="s">
        <v>35</v>
      </c>
      <c r="C25" s="17" t="s">
        <v>42</v>
      </c>
      <c r="D25" s="58" t="s">
        <v>30</v>
      </c>
      <c r="E25" s="22" t="s">
        <v>43</v>
      </c>
      <c r="F25" s="10" t="s">
        <v>29</v>
      </c>
      <c r="G25" s="40">
        <v>5</v>
      </c>
      <c r="H25" s="40">
        <v>796</v>
      </c>
      <c r="I25" s="40">
        <v>3980</v>
      </c>
      <c r="J25" s="40"/>
      <c r="K25" s="40"/>
      <c r="L25" s="40"/>
      <c r="M25" s="12"/>
      <c r="N25" s="64"/>
      <c r="O25" s="13"/>
      <c r="P25" s="13"/>
      <c r="Q25" s="13"/>
      <c r="R25" s="13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</row>
    <row r="26" spans="1:1022" s="21" customFormat="1" ht="62.1" customHeight="1" x14ac:dyDescent="0.25">
      <c r="A26" s="8">
        <v>8</v>
      </c>
      <c r="B26" s="17" t="s">
        <v>36</v>
      </c>
      <c r="C26" s="46" t="s">
        <v>32</v>
      </c>
      <c r="D26" s="56" t="s">
        <v>30</v>
      </c>
      <c r="E26" s="9" t="s">
        <v>44</v>
      </c>
      <c r="F26" s="10" t="s">
        <v>29</v>
      </c>
      <c r="G26" s="40">
        <v>3</v>
      </c>
      <c r="H26" s="41">
        <v>2153</v>
      </c>
      <c r="I26" s="40">
        <v>6459</v>
      </c>
      <c r="J26" s="40"/>
      <c r="K26" s="40"/>
      <c r="L26" s="40"/>
      <c r="M26" s="12"/>
      <c r="N26" s="64"/>
      <c r="O26" s="66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4"/>
      <c r="AME26" s="14"/>
      <c r="AMF26" s="14"/>
      <c r="AMG26" s="14"/>
      <c r="AMH26" s="14"/>
    </row>
    <row r="27" spans="1:1022" s="21" customFormat="1" ht="62.1" customHeight="1" x14ac:dyDescent="0.25">
      <c r="A27" s="8">
        <v>9</v>
      </c>
      <c r="B27" s="17" t="s">
        <v>36</v>
      </c>
      <c r="C27" s="17" t="s">
        <v>33</v>
      </c>
      <c r="D27" s="47" t="s">
        <v>30</v>
      </c>
      <c r="E27" s="9" t="s">
        <v>44</v>
      </c>
      <c r="F27" s="10" t="s">
        <v>29</v>
      </c>
      <c r="G27" s="40">
        <v>1</v>
      </c>
      <c r="H27" s="41">
        <v>2153</v>
      </c>
      <c r="I27" s="41">
        <v>2153</v>
      </c>
      <c r="J27" s="40"/>
      <c r="K27" s="40"/>
      <c r="L27" s="40"/>
      <c r="M27" s="12"/>
      <c r="N27" s="64"/>
      <c r="O27" s="66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4"/>
      <c r="AME27" s="14"/>
      <c r="AMF27" s="14"/>
      <c r="AMG27" s="14"/>
      <c r="AMH27" s="14"/>
    </row>
    <row r="28" spans="1:1022" s="14" customFormat="1" ht="73.5" customHeight="1" x14ac:dyDescent="0.25">
      <c r="A28" s="8">
        <v>10</v>
      </c>
      <c r="B28" s="17" t="s">
        <v>36</v>
      </c>
      <c r="C28" s="17" t="s">
        <v>28</v>
      </c>
      <c r="D28" s="48" t="s">
        <v>30</v>
      </c>
      <c r="E28" s="9" t="s">
        <v>44</v>
      </c>
      <c r="F28" s="10" t="s">
        <v>29</v>
      </c>
      <c r="G28" s="40">
        <v>1</v>
      </c>
      <c r="H28" s="41">
        <v>2153</v>
      </c>
      <c r="I28" s="41">
        <v>2153</v>
      </c>
      <c r="J28" s="40"/>
      <c r="K28" s="40"/>
      <c r="L28" s="40"/>
      <c r="M28" s="19"/>
      <c r="N28" s="68"/>
      <c r="O28" s="20"/>
      <c r="P28" s="20"/>
      <c r="Q28" s="20"/>
      <c r="R28" s="20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19"/>
      <c r="IV28" s="19"/>
      <c r="IW28" s="19"/>
      <c r="IX28" s="19"/>
      <c r="IY28" s="19"/>
      <c r="IZ28" s="19"/>
      <c r="JA28" s="19"/>
      <c r="JB28" s="19"/>
      <c r="JC28" s="19"/>
      <c r="JD28" s="19"/>
      <c r="JE28" s="19"/>
      <c r="JF28" s="19"/>
      <c r="JG28" s="19"/>
      <c r="JH28" s="19"/>
      <c r="JI28" s="19"/>
      <c r="JJ28" s="19"/>
      <c r="JK28" s="19"/>
      <c r="JL28" s="19"/>
      <c r="JM28" s="19"/>
      <c r="JN28" s="19"/>
      <c r="JO28" s="19"/>
      <c r="JP28" s="19"/>
      <c r="JQ28" s="19"/>
      <c r="JR28" s="19"/>
      <c r="JS28" s="19"/>
      <c r="JT28" s="19"/>
      <c r="JU28" s="19"/>
      <c r="JV28" s="19"/>
      <c r="JW28" s="19"/>
      <c r="JX28" s="19"/>
      <c r="JY28" s="19"/>
      <c r="JZ28" s="19"/>
      <c r="KA28" s="19"/>
      <c r="KB28" s="19"/>
      <c r="KC28" s="19"/>
      <c r="KD28" s="19"/>
      <c r="KE28" s="19"/>
      <c r="KF28" s="19"/>
      <c r="KG28" s="19"/>
      <c r="KH28" s="19"/>
      <c r="KI28" s="19"/>
      <c r="KJ28" s="19"/>
      <c r="KK28" s="19"/>
      <c r="KL28" s="19"/>
      <c r="KM28" s="19"/>
      <c r="KN28" s="19"/>
      <c r="KO28" s="19"/>
      <c r="KP28" s="19"/>
      <c r="KQ28" s="19"/>
      <c r="KR28" s="19"/>
      <c r="KS28" s="19"/>
      <c r="KT28" s="19"/>
      <c r="KU28" s="19"/>
      <c r="KV28" s="19"/>
      <c r="KW28" s="19"/>
      <c r="KX28" s="19"/>
      <c r="KY28" s="19"/>
      <c r="KZ28" s="19"/>
      <c r="LA28" s="19"/>
      <c r="LB28" s="19"/>
      <c r="LC28" s="19"/>
      <c r="LD28" s="19"/>
      <c r="LE28" s="19"/>
      <c r="LF28" s="19"/>
      <c r="LG28" s="19"/>
      <c r="LH28" s="19"/>
      <c r="LI28" s="19"/>
      <c r="LJ28" s="19"/>
      <c r="LK28" s="19"/>
      <c r="LL28" s="19"/>
      <c r="LM28" s="19"/>
      <c r="LN28" s="19"/>
      <c r="LO28" s="19"/>
      <c r="LP28" s="19"/>
      <c r="LQ28" s="19"/>
      <c r="LR28" s="19"/>
      <c r="LS28" s="19"/>
      <c r="LT28" s="19"/>
      <c r="LU28" s="19"/>
      <c r="LV28" s="19"/>
      <c r="LW28" s="19"/>
      <c r="LX28" s="19"/>
      <c r="LY28" s="19"/>
      <c r="LZ28" s="19"/>
      <c r="MA28" s="19"/>
      <c r="MB28" s="19"/>
      <c r="MC28" s="19"/>
      <c r="MD28" s="19"/>
      <c r="ME28" s="19"/>
      <c r="MF28" s="19"/>
      <c r="MG28" s="19"/>
      <c r="MH28" s="19"/>
      <c r="MI28" s="19"/>
      <c r="MJ28" s="19"/>
      <c r="MK28" s="19"/>
      <c r="ML28" s="19"/>
      <c r="MM28" s="19"/>
      <c r="MN28" s="19"/>
      <c r="MO28" s="19"/>
      <c r="MP28" s="19"/>
      <c r="MQ28" s="19"/>
      <c r="MR28" s="19"/>
      <c r="MS28" s="19"/>
      <c r="MT28" s="19"/>
      <c r="MU28" s="19"/>
      <c r="MV28" s="19"/>
      <c r="MW28" s="19"/>
      <c r="MX28" s="19"/>
      <c r="MY28" s="19"/>
      <c r="MZ28" s="19"/>
      <c r="NA28" s="19"/>
      <c r="NB28" s="19"/>
      <c r="NC28" s="19"/>
      <c r="ND28" s="19"/>
      <c r="NE28" s="19"/>
      <c r="NF28" s="19"/>
      <c r="NG28" s="19"/>
      <c r="NH28" s="19"/>
      <c r="NI28" s="19"/>
      <c r="NJ28" s="19"/>
      <c r="NK28" s="19"/>
      <c r="NL28" s="19"/>
      <c r="NM28" s="19"/>
      <c r="NN28" s="19"/>
      <c r="NO28" s="19"/>
      <c r="NP28" s="19"/>
      <c r="NQ28" s="19"/>
      <c r="NR28" s="19"/>
      <c r="NS28" s="19"/>
      <c r="NT28" s="19"/>
      <c r="NU28" s="19"/>
      <c r="NV28" s="19"/>
      <c r="NW28" s="19"/>
      <c r="NX28" s="19"/>
      <c r="NY28" s="19"/>
      <c r="NZ28" s="19"/>
      <c r="OA28" s="19"/>
      <c r="OB28" s="19"/>
      <c r="OC28" s="19"/>
      <c r="OD28" s="19"/>
      <c r="OE28" s="19"/>
      <c r="OF28" s="19"/>
      <c r="OG28" s="19"/>
      <c r="OH28" s="19"/>
      <c r="OI28" s="19"/>
      <c r="OJ28" s="19"/>
      <c r="OK28" s="19"/>
      <c r="OL28" s="19"/>
      <c r="OM28" s="19"/>
      <c r="ON28" s="19"/>
      <c r="OO28" s="19"/>
      <c r="OP28" s="19"/>
      <c r="OQ28" s="19"/>
      <c r="OR28" s="19"/>
      <c r="OS28" s="19"/>
      <c r="OT28" s="19"/>
      <c r="OU28" s="19"/>
      <c r="OV28" s="19"/>
      <c r="OW28" s="19"/>
      <c r="OX28" s="19"/>
      <c r="OY28" s="19"/>
      <c r="OZ28" s="19"/>
      <c r="PA28" s="19"/>
      <c r="PB28" s="19"/>
      <c r="PC28" s="19"/>
      <c r="PD28" s="19"/>
      <c r="PE28" s="19"/>
      <c r="PF28" s="19"/>
      <c r="PG28" s="19"/>
      <c r="PH28" s="19"/>
      <c r="PI28" s="19"/>
      <c r="PJ28" s="19"/>
      <c r="PK28" s="19"/>
      <c r="PL28" s="19"/>
      <c r="PM28" s="19"/>
      <c r="PN28" s="19"/>
      <c r="PO28" s="19"/>
      <c r="PP28" s="19"/>
      <c r="PQ28" s="19"/>
      <c r="PR28" s="19"/>
      <c r="PS28" s="19"/>
      <c r="PT28" s="19"/>
      <c r="PU28" s="19"/>
      <c r="PV28" s="19"/>
      <c r="PW28" s="19"/>
      <c r="PX28" s="19"/>
      <c r="PY28" s="19"/>
      <c r="PZ28" s="19"/>
      <c r="QA28" s="19"/>
      <c r="QB28" s="19"/>
      <c r="QC28" s="19"/>
      <c r="QD28" s="19"/>
      <c r="QE28" s="19"/>
      <c r="QF28" s="19"/>
      <c r="QG28" s="19"/>
      <c r="QH28" s="19"/>
      <c r="QI28" s="19"/>
      <c r="QJ28" s="19"/>
      <c r="QK28" s="19"/>
      <c r="QL28" s="19"/>
      <c r="QM28" s="19"/>
      <c r="QN28" s="19"/>
      <c r="QO28" s="19"/>
      <c r="QP28" s="19"/>
      <c r="QQ28" s="19"/>
      <c r="QR28" s="19"/>
      <c r="QS28" s="19"/>
      <c r="QT28" s="19"/>
      <c r="QU28" s="19"/>
      <c r="QV28" s="19"/>
      <c r="QW28" s="19"/>
      <c r="QX28" s="19"/>
      <c r="QY28" s="19"/>
      <c r="QZ28" s="19"/>
      <c r="RA28" s="19"/>
      <c r="RB28" s="19"/>
      <c r="RC28" s="19"/>
      <c r="RD28" s="19"/>
      <c r="RE28" s="19"/>
      <c r="RF28" s="19"/>
      <c r="RG28" s="19"/>
      <c r="RH28" s="19"/>
      <c r="RI28" s="19"/>
      <c r="RJ28" s="19"/>
      <c r="RK28" s="19"/>
      <c r="RL28" s="19"/>
      <c r="RM28" s="19"/>
      <c r="RN28" s="19"/>
      <c r="RO28" s="19"/>
      <c r="RP28" s="19"/>
      <c r="RQ28" s="19"/>
      <c r="RR28" s="19"/>
      <c r="RS28" s="19"/>
      <c r="RT28" s="19"/>
      <c r="RU28" s="19"/>
      <c r="RV28" s="19"/>
      <c r="RW28" s="19"/>
      <c r="RX28" s="19"/>
      <c r="RY28" s="19"/>
      <c r="RZ28" s="19"/>
      <c r="SA28" s="19"/>
      <c r="SB28" s="19"/>
      <c r="SC28" s="19"/>
      <c r="SD28" s="19"/>
      <c r="SE28" s="19"/>
      <c r="SF28" s="19"/>
      <c r="SG28" s="19"/>
      <c r="SH28" s="19"/>
      <c r="SI28" s="19"/>
      <c r="SJ28" s="19"/>
      <c r="SK28" s="19"/>
      <c r="SL28" s="19"/>
      <c r="SM28" s="19"/>
      <c r="SN28" s="19"/>
      <c r="SO28" s="19"/>
      <c r="SP28" s="19"/>
      <c r="SQ28" s="19"/>
      <c r="SR28" s="19"/>
      <c r="SS28" s="19"/>
      <c r="ST28" s="19"/>
      <c r="SU28" s="19"/>
      <c r="SV28" s="19"/>
      <c r="SW28" s="19"/>
      <c r="SX28" s="19"/>
      <c r="SY28" s="19"/>
      <c r="SZ28" s="19"/>
      <c r="TA28" s="19"/>
      <c r="TB28" s="19"/>
      <c r="TC28" s="19"/>
      <c r="TD28" s="19"/>
      <c r="TE28" s="19"/>
      <c r="TF28" s="19"/>
      <c r="TG28" s="19"/>
      <c r="TH28" s="19"/>
      <c r="TI28" s="19"/>
      <c r="TJ28" s="19"/>
      <c r="TK28" s="19"/>
      <c r="TL28" s="19"/>
      <c r="TM28" s="19"/>
      <c r="TN28" s="19"/>
      <c r="TO28" s="19"/>
      <c r="TP28" s="19"/>
      <c r="TQ28" s="19"/>
      <c r="TR28" s="19"/>
      <c r="TS28" s="19"/>
      <c r="TT28" s="19"/>
      <c r="TU28" s="19"/>
      <c r="TV28" s="19"/>
      <c r="TW28" s="19"/>
      <c r="TX28" s="19"/>
      <c r="TY28" s="19"/>
      <c r="TZ28" s="19"/>
      <c r="UA28" s="19"/>
      <c r="UB28" s="19"/>
      <c r="UC28" s="19"/>
      <c r="UD28" s="19"/>
      <c r="UE28" s="19"/>
      <c r="UF28" s="19"/>
      <c r="UG28" s="19"/>
      <c r="UH28" s="19"/>
      <c r="UI28" s="19"/>
      <c r="UJ28" s="19"/>
      <c r="UK28" s="19"/>
      <c r="UL28" s="19"/>
      <c r="UM28" s="19"/>
      <c r="UN28" s="19"/>
      <c r="UO28" s="19"/>
      <c r="UP28" s="19"/>
      <c r="UQ28" s="19"/>
      <c r="UR28" s="19"/>
      <c r="US28" s="19"/>
      <c r="UT28" s="19"/>
      <c r="UU28" s="19"/>
      <c r="UV28" s="19"/>
      <c r="UW28" s="19"/>
      <c r="UX28" s="19"/>
      <c r="UY28" s="19"/>
      <c r="UZ28" s="19"/>
      <c r="VA28" s="19"/>
      <c r="VB28" s="19"/>
      <c r="VC28" s="19"/>
      <c r="VD28" s="19"/>
      <c r="VE28" s="19"/>
      <c r="VF28" s="19"/>
      <c r="VG28" s="19"/>
      <c r="VH28" s="19"/>
      <c r="VI28" s="19"/>
      <c r="VJ28" s="19"/>
      <c r="VK28" s="19"/>
      <c r="VL28" s="19"/>
      <c r="VM28" s="19"/>
      <c r="VN28" s="19"/>
      <c r="VO28" s="19"/>
      <c r="VP28" s="19"/>
      <c r="VQ28" s="19"/>
      <c r="VR28" s="19"/>
      <c r="VS28" s="19"/>
      <c r="VT28" s="19"/>
      <c r="VU28" s="19"/>
      <c r="VV28" s="19"/>
      <c r="VW28" s="19"/>
      <c r="VX28" s="19"/>
      <c r="VY28" s="19"/>
      <c r="VZ28" s="19"/>
      <c r="WA28" s="19"/>
      <c r="WB28" s="19"/>
      <c r="WC28" s="19"/>
      <c r="WD28" s="19"/>
      <c r="WE28" s="19"/>
      <c r="WF28" s="19"/>
      <c r="WG28" s="19"/>
      <c r="WH28" s="19"/>
      <c r="WI28" s="19"/>
      <c r="WJ28" s="19"/>
      <c r="WK28" s="19"/>
      <c r="WL28" s="19"/>
      <c r="WM28" s="19"/>
      <c r="WN28" s="19"/>
      <c r="WO28" s="19"/>
      <c r="WP28" s="19"/>
      <c r="WQ28" s="19"/>
      <c r="WR28" s="19"/>
      <c r="WS28" s="19"/>
      <c r="WT28" s="19"/>
      <c r="WU28" s="19"/>
      <c r="WV28" s="19"/>
      <c r="WW28" s="19"/>
      <c r="WX28" s="19"/>
      <c r="WY28" s="19"/>
      <c r="WZ28" s="19"/>
      <c r="XA28" s="19"/>
      <c r="XB28" s="19"/>
      <c r="XC28" s="19"/>
      <c r="XD28" s="19"/>
      <c r="XE28" s="19"/>
      <c r="XF28" s="19"/>
      <c r="XG28" s="19"/>
      <c r="XH28" s="19"/>
      <c r="XI28" s="19"/>
      <c r="XJ28" s="19"/>
      <c r="XK28" s="19"/>
      <c r="XL28" s="19"/>
      <c r="XM28" s="19"/>
      <c r="XN28" s="19"/>
      <c r="XO28" s="19"/>
      <c r="XP28" s="19"/>
      <c r="XQ28" s="19"/>
      <c r="XR28" s="19"/>
      <c r="XS28" s="19"/>
      <c r="XT28" s="19"/>
      <c r="XU28" s="19"/>
      <c r="XV28" s="19"/>
      <c r="XW28" s="19"/>
      <c r="XX28" s="19"/>
      <c r="XY28" s="19"/>
      <c r="XZ28" s="19"/>
      <c r="YA28" s="19"/>
      <c r="YB28" s="19"/>
      <c r="YC28" s="19"/>
      <c r="YD28" s="19"/>
      <c r="YE28" s="19"/>
      <c r="YF28" s="19"/>
      <c r="YG28" s="19"/>
      <c r="YH28" s="19"/>
      <c r="YI28" s="19"/>
      <c r="YJ28" s="19"/>
      <c r="YK28" s="19"/>
      <c r="YL28" s="19"/>
      <c r="YM28" s="19"/>
      <c r="YN28" s="19"/>
      <c r="YO28" s="19"/>
      <c r="YP28" s="19"/>
      <c r="YQ28" s="19"/>
      <c r="YR28" s="19"/>
      <c r="YS28" s="19"/>
      <c r="YT28" s="19"/>
      <c r="YU28" s="19"/>
      <c r="YV28" s="19"/>
      <c r="YW28" s="19"/>
      <c r="YX28" s="19"/>
      <c r="YY28" s="19"/>
      <c r="YZ28" s="19"/>
      <c r="ZA28" s="19"/>
      <c r="ZB28" s="19"/>
      <c r="ZC28" s="19"/>
      <c r="ZD28" s="19"/>
      <c r="ZE28" s="19"/>
      <c r="ZF28" s="19"/>
      <c r="ZG28" s="19"/>
      <c r="ZH28" s="19"/>
      <c r="ZI28" s="19"/>
      <c r="ZJ28" s="19"/>
      <c r="ZK28" s="19"/>
      <c r="ZL28" s="19"/>
      <c r="ZM28" s="19"/>
      <c r="ZN28" s="19"/>
      <c r="ZO28" s="19"/>
      <c r="ZP28" s="19"/>
      <c r="ZQ28" s="19"/>
      <c r="ZR28" s="19"/>
      <c r="ZS28" s="19"/>
      <c r="ZT28" s="19"/>
      <c r="ZU28" s="19"/>
      <c r="ZV28" s="19"/>
      <c r="ZW28" s="19"/>
      <c r="ZX28" s="19"/>
      <c r="ZY28" s="19"/>
      <c r="ZZ28" s="19"/>
      <c r="AAA28" s="19"/>
      <c r="AAB28" s="19"/>
      <c r="AAC28" s="19"/>
      <c r="AAD28" s="19"/>
      <c r="AAE28" s="19"/>
      <c r="AAF28" s="19"/>
      <c r="AAG28" s="19"/>
      <c r="AAH28" s="19"/>
      <c r="AAI28" s="19"/>
      <c r="AAJ28" s="19"/>
      <c r="AAK28" s="19"/>
      <c r="AAL28" s="19"/>
      <c r="AAM28" s="19"/>
      <c r="AAN28" s="19"/>
      <c r="AAO28" s="19"/>
      <c r="AAP28" s="19"/>
      <c r="AAQ28" s="19"/>
      <c r="AAR28" s="19"/>
      <c r="AAS28" s="19"/>
      <c r="AAT28" s="19"/>
      <c r="AAU28" s="19"/>
      <c r="AAV28" s="19"/>
      <c r="AAW28" s="19"/>
      <c r="AAX28" s="19"/>
      <c r="AAY28" s="19"/>
      <c r="AAZ28" s="19"/>
      <c r="ABA28" s="19"/>
      <c r="ABB28" s="19"/>
      <c r="ABC28" s="19"/>
      <c r="ABD28" s="19"/>
      <c r="ABE28" s="19"/>
      <c r="ABF28" s="19"/>
      <c r="ABG28" s="19"/>
      <c r="ABH28" s="19"/>
      <c r="ABI28" s="19"/>
      <c r="ABJ28" s="19"/>
      <c r="ABK28" s="19"/>
      <c r="ABL28" s="19"/>
      <c r="ABM28" s="19"/>
      <c r="ABN28" s="19"/>
      <c r="ABO28" s="19"/>
      <c r="ABP28" s="19"/>
      <c r="ABQ28" s="19"/>
      <c r="ABR28" s="19"/>
      <c r="ABS28" s="19"/>
      <c r="ABT28" s="19"/>
      <c r="ABU28" s="19"/>
      <c r="ABV28" s="19"/>
      <c r="ABW28" s="19"/>
      <c r="ABX28" s="19"/>
      <c r="ABY28" s="19"/>
      <c r="ABZ28" s="19"/>
      <c r="ACA28" s="19"/>
      <c r="ACB28" s="19"/>
      <c r="ACC28" s="19"/>
      <c r="ACD28" s="19"/>
      <c r="ACE28" s="19"/>
      <c r="ACF28" s="19"/>
      <c r="ACG28" s="19"/>
      <c r="ACH28" s="19"/>
      <c r="ACI28" s="19"/>
      <c r="ACJ28" s="19"/>
      <c r="ACK28" s="19"/>
      <c r="ACL28" s="19"/>
      <c r="ACM28" s="19"/>
      <c r="ACN28" s="19"/>
      <c r="ACO28" s="19"/>
      <c r="ACP28" s="19"/>
      <c r="ACQ28" s="19"/>
      <c r="ACR28" s="19"/>
      <c r="ACS28" s="19"/>
      <c r="ACT28" s="19"/>
      <c r="ACU28" s="19"/>
      <c r="ACV28" s="19"/>
      <c r="ACW28" s="19"/>
      <c r="ACX28" s="19"/>
      <c r="ACY28" s="19"/>
      <c r="ACZ28" s="19"/>
      <c r="ADA28" s="19"/>
      <c r="ADB28" s="19"/>
      <c r="ADC28" s="19"/>
      <c r="ADD28" s="19"/>
      <c r="ADE28" s="19"/>
      <c r="ADF28" s="19"/>
      <c r="ADG28" s="19"/>
      <c r="ADH28" s="19"/>
      <c r="ADI28" s="19"/>
      <c r="ADJ28" s="19"/>
      <c r="ADK28" s="19"/>
      <c r="ADL28" s="19"/>
      <c r="ADM28" s="19"/>
      <c r="ADN28" s="19"/>
      <c r="ADO28" s="19"/>
      <c r="ADP28" s="19"/>
      <c r="ADQ28" s="19"/>
      <c r="ADR28" s="19"/>
      <c r="ADS28" s="19"/>
      <c r="ADT28" s="19"/>
      <c r="ADU28" s="19"/>
      <c r="ADV28" s="19"/>
      <c r="ADW28" s="19"/>
      <c r="ADX28" s="19"/>
      <c r="ADY28" s="19"/>
      <c r="ADZ28" s="19"/>
      <c r="AEA28" s="19"/>
      <c r="AEB28" s="19"/>
      <c r="AEC28" s="19"/>
      <c r="AED28" s="19"/>
      <c r="AEE28" s="19"/>
      <c r="AEF28" s="19"/>
      <c r="AEG28" s="19"/>
      <c r="AEH28" s="19"/>
      <c r="AEI28" s="19"/>
      <c r="AEJ28" s="19"/>
      <c r="AEK28" s="19"/>
      <c r="AEL28" s="19"/>
      <c r="AEM28" s="19"/>
      <c r="AEN28" s="19"/>
      <c r="AEO28" s="19"/>
      <c r="AEP28" s="19"/>
      <c r="AEQ28" s="19"/>
      <c r="AER28" s="19"/>
      <c r="AES28" s="19"/>
      <c r="AET28" s="19"/>
      <c r="AEU28" s="19"/>
      <c r="AEV28" s="19"/>
      <c r="AEW28" s="19"/>
      <c r="AEX28" s="19"/>
      <c r="AEY28" s="19"/>
      <c r="AEZ28" s="19"/>
      <c r="AFA28" s="19"/>
      <c r="AFB28" s="19"/>
      <c r="AFC28" s="19"/>
      <c r="AFD28" s="19"/>
      <c r="AFE28" s="19"/>
      <c r="AFF28" s="19"/>
      <c r="AFG28" s="19"/>
      <c r="AFH28" s="19"/>
      <c r="AFI28" s="19"/>
      <c r="AFJ28" s="19"/>
      <c r="AFK28" s="19"/>
      <c r="AFL28" s="19"/>
      <c r="AFM28" s="19"/>
      <c r="AFN28" s="19"/>
      <c r="AFO28" s="19"/>
      <c r="AFP28" s="19"/>
      <c r="AFQ28" s="19"/>
      <c r="AFR28" s="19"/>
      <c r="AFS28" s="19"/>
      <c r="AFT28" s="19"/>
      <c r="AFU28" s="19"/>
      <c r="AFV28" s="19"/>
      <c r="AFW28" s="19"/>
      <c r="AFX28" s="19"/>
      <c r="AFY28" s="19"/>
      <c r="AFZ28" s="19"/>
      <c r="AGA28" s="19"/>
      <c r="AGB28" s="19"/>
      <c r="AGC28" s="19"/>
      <c r="AGD28" s="19"/>
      <c r="AGE28" s="19"/>
      <c r="AGF28" s="19"/>
      <c r="AGG28" s="19"/>
      <c r="AGH28" s="19"/>
      <c r="AGI28" s="19"/>
      <c r="AGJ28" s="19"/>
      <c r="AGK28" s="19"/>
      <c r="AGL28" s="19"/>
      <c r="AGM28" s="19"/>
      <c r="AGN28" s="19"/>
      <c r="AGO28" s="19"/>
      <c r="AGP28" s="19"/>
      <c r="AGQ28" s="19"/>
      <c r="AGR28" s="19"/>
      <c r="AGS28" s="19"/>
      <c r="AGT28" s="19"/>
      <c r="AGU28" s="19"/>
      <c r="AGV28" s="19"/>
      <c r="AGW28" s="19"/>
      <c r="AGX28" s="19"/>
      <c r="AGY28" s="19"/>
      <c r="AGZ28" s="19"/>
      <c r="AHA28" s="19"/>
      <c r="AHB28" s="19"/>
      <c r="AHC28" s="19"/>
      <c r="AHD28" s="19"/>
      <c r="AHE28" s="19"/>
      <c r="AHF28" s="19"/>
      <c r="AHG28" s="19"/>
      <c r="AHH28" s="19"/>
      <c r="AHI28" s="19"/>
      <c r="AHJ28" s="19"/>
      <c r="AHK28" s="19"/>
      <c r="AHL28" s="19"/>
      <c r="AHM28" s="19"/>
      <c r="AHN28" s="19"/>
      <c r="AHO28" s="19"/>
      <c r="AHP28" s="19"/>
      <c r="AHQ28" s="19"/>
      <c r="AHR28" s="19"/>
      <c r="AHS28" s="19"/>
      <c r="AHT28" s="19"/>
      <c r="AHU28" s="19"/>
      <c r="AHV28" s="19"/>
      <c r="AHW28" s="19"/>
      <c r="AHX28" s="19"/>
      <c r="AHY28" s="19"/>
      <c r="AHZ28" s="19"/>
      <c r="AIA28" s="19"/>
      <c r="AIB28" s="19"/>
      <c r="AIC28" s="19"/>
      <c r="AID28" s="19"/>
      <c r="AIE28" s="19"/>
      <c r="AIF28" s="19"/>
      <c r="AIG28" s="19"/>
      <c r="AIH28" s="19"/>
      <c r="AII28" s="19"/>
      <c r="AIJ28" s="19"/>
      <c r="AIK28" s="19"/>
      <c r="AIL28" s="19"/>
      <c r="AIM28" s="19"/>
      <c r="AIN28" s="19"/>
      <c r="AIO28" s="19"/>
      <c r="AIP28" s="19"/>
      <c r="AIQ28" s="19"/>
      <c r="AIR28" s="19"/>
      <c r="AIS28" s="19"/>
      <c r="AIT28" s="19"/>
      <c r="AIU28" s="19"/>
      <c r="AIV28" s="19"/>
      <c r="AIW28" s="19"/>
      <c r="AIX28" s="19"/>
      <c r="AIY28" s="19"/>
      <c r="AIZ28" s="19"/>
      <c r="AJA28" s="19"/>
      <c r="AJB28" s="19"/>
      <c r="AJC28" s="19"/>
      <c r="AJD28" s="19"/>
      <c r="AJE28" s="19"/>
      <c r="AJF28" s="19"/>
      <c r="AJG28" s="19"/>
      <c r="AJH28" s="19"/>
      <c r="AJI28" s="19"/>
      <c r="AJJ28" s="19"/>
      <c r="AJK28" s="19"/>
      <c r="AJL28" s="19"/>
      <c r="AJM28" s="19"/>
      <c r="AJN28" s="19"/>
      <c r="AJO28" s="19"/>
      <c r="AJP28" s="19"/>
      <c r="AJQ28" s="19"/>
      <c r="AJR28" s="19"/>
      <c r="AJS28" s="19"/>
      <c r="AJT28" s="19"/>
      <c r="AJU28" s="19"/>
      <c r="AJV28" s="19"/>
      <c r="AJW28" s="19"/>
      <c r="AJX28" s="19"/>
      <c r="AJY28" s="19"/>
      <c r="AJZ28" s="19"/>
      <c r="AKA28" s="19"/>
      <c r="AKB28" s="19"/>
      <c r="AKC28" s="19"/>
      <c r="AKD28" s="19"/>
      <c r="AKE28" s="19"/>
      <c r="AKF28" s="19"/>
      <c r="AKG28" s="19"/>
      <c r="AKH28" s="19"/>
      <c r="AKI28" s="19"/>
      <c r="AKJ28" s="19"/>
      <c r="AKK28" s="19"/>
      <c r="AKL28" s="19"/>
      <c r="AKM28" s="19"/>
      <c r="AKN28" s="19"/>
      <c r="AKO28" s="19"/>
      <c r="AKP28" s="19"/>
      <c r="AKQ28" s="19"/>
      <c r="AKR28" s="19"/>
      <c r="AKS28" s="19"/>
      <c r="AKT28" s="19"/>
      <c r="AKU28" s="19"/>
      <c r="AKV28" s="19"/>
      <c r="AKW28" s="19"/>
      <c r="AKX28" s="19"/>
      <c r="AKY28" s="19"/>
      <c r="AKZ28" s="19"/>
      <c r="ALA28" s="19"/>
      <c r="ALB28" s="19"/>
      <c r="ALC28" s="19"/>
      <c r="ALD28" s="19"/>
      <c r="ALE28" s="19"/>
      <c r="ALF28" s="19"/>
      <c r="ALG28" s="19"/>
      <c r="ALH28" s="19"/>
      <c r="ALI28" s="19"/>
      <c r="ALJ28" s="19"/>
      <c r="ALK28" s="19"/>
      <c r="ALL28" s="19"/>
      <c r="ALM28" s="19"/>
      <c r="ALN28" s="19"/>
      <c r="ALO28" s="19"/>
      <c r="ALP28" s="19"/>
      <c r="ALQ28" s="19"/>
      <c r="ALR28" s="19"/>
      <c r="ALS28" s="19"/>
      <c r="ALT28" s="19"/>
      <c r="ALU28" s="19"/>
      <c r="ALV28" s="19"/>
      <c r="ALW28" s="19"/>
      <c r="ALX28" s="19"/>
      <c r="ALY28" s="19"/>
      <c r="ALZ28" s="19"/>
      <c r="AMA28" s="19"/>
      <c r="AMB28" s="19"/>
      <c r="AMC28" s="19"/>
      <c r="AMD28" s="21"/>
      <c r="AME28" s="21"/>
      <c r="AMF28" s="21"/>
      <c r="AMG28" s="21"/>
      <c r="AMH28" s="21"/>
    </row>
    <row r="29" spans="1:1022" s="14" customFormat="1" ht="62.1" customHeight="1" x14ac:dyDescent="0.25">
      <c r="A29" s="8">
        <v>11</v>
      </c>
      <c r="B29" s="17" t="s">
        <v>37</v>
      </c>
      <c r="C29" s="46" t="s">
        <v>32</v>
      </c>
      <c r="D29" s="56" t="s">
        <v>30</v>
      </c>
      <c r="E29" s="9" t="s">
        <v>45</v>
      </c>
      <c r="F29" s="10" t="s">
        <v>29</v>
      </c>
      <c r="G29" s="40">
        <v>3</v>
      </c>
      <c r="H29" s="44">
        <v>791</v>
      </c>
      <c r="I29" s="40">
        <v>2373</v>
      </c>
      <c r="J29" s="40"/>
      <c r="K29" s="40"/>
      <c r="L29" s="40"/>
      <c r="M29" s="12"/>
      <c r="N29" s="64"/>
      <c r="O29" s="13"/>
      <c r="P29" s="13"/>
      <c r="Q29" s="13"/>
      <c r="R29" s="13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</row>
    <row r="30" spans="1:1022" s="14" customFormat="1" ht="62.1" customHeight="1" x14ac:dyDescent="0.25">
      <c r="A30" s="8">
        <v>12</v>
      </c>
      <c r="B30" s="17" t="s">
        <v>37</v>
      </c>
      <c r="C30" s="17" t="s">
        <v>33</v>
      </c>
      <c r="D30" s="56" t="s">
        <v>30</v>
      </c>
      <c r="E30" s="9" t="s">
        <v>45</v>
      </c>
      <c r="F30" s="10" t="s">
        <v>29</v>
      </c>
      <c r="G30" s="40">
        <v>1</v>
      </c>
      <c r="H30" s="44">
        <v>791</v>
      </c>
      <c r="I30" s="44">
        <v>791</v>
      </c>
      <c r="J30" s="40"/>
      <c r="K30" s="40"/>
      <c r="L30" s="40"/>
      <c r="M30" s="12"/>
      <c r="N30" s="64"/>
      <c r="O30" s="13"/>
      <c r="P30" s="13"/>
      <c r="Q30" s="13"/>
      <c r="R30" s="13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</row>
    <row r="31" spans="1:1022" s="14" customFormat="1" ht="62.1" customHeight="1" x14ac:dyDescent="0.25">
      <c r="A31" s="8">
        <v>13</v>
      </c>
      <c r="B31" s="27" t="s">
        <v>37</v>
      </c>
      <c r="C31" s="17" t="s">
        <v>28</v>
      </c>
      <c r="D31" s="56" t="s">
        <v>30</v>
      </c>
      <c r="E31" s="9" t="s">
        <v>45</v>
      </c>
      <c r="F31" s="10" t="s">
        <v>29</v>
      </c>
      <c r="G31" s="40">
        <v>1</v>
      </c>
      <c r="H31" s="44">
        <v>791</v>
      </c>
      <c r="I31" s="44">
        <v>791</v>
      </c>
      <c r="J31" s="40"/>
      <c r="K31" s="40"/>
      <c r="L31" s="40"/>
      <c r="M31" s="12"/>
      <c r="N31" s="67"/>
      <c r="O31" s="66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</row>
    <row r="32" spans="1:1022" s="14" customFormat="1" ht="88.5" customHeight="1" x14ac:dyDescent="0.25">
      <c r="A32" s="8">
        <v>14</v>
      </c>
      <c r="B32" s="27" t="s">
        <v>38</v>
      </c>
      <c r="C32" s="27">
        <v>41</v>
      </c>
      <c r="D32" s="56" t="s">
        <v>30</v>
      </c>
      <c r="E32" s="25" t="s">
        <v>47</v>
      </c>
      <c r="F32" s="18" t="s">
        <v>46</v>
      </c>
      <c r="G32" s="41">
        <v>1</v>
      </c>
      <c r="H32" s="41">
        <v>7143</v>
      </c>
      <c r="I32" s="41">
        <v>7143</v>
      </c>
      <c r="J32" s="40"/>
      <c r="K32" s="40"/>
      <c r="L32" s="40"/>
      <c r="M32" s="12"/>
      <c r="N32" s="68"/>
      <c r="O32" s="66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</row>
    <row r="33" spans="1:1017" s="14" customFormat="1" ht="92.25" customHeight="1" x14ac:dyDescent="0.25">
      <c r="A33" s="8">
        <v>15</v>
      </c>
      <c r="B33" s="55" t="s">
        <v>38</v>
      </c>
      <c r="C33" s="55">
        <v>42</v>
      </c>
      <c r="D33" s="56" t="s">
        <v>30</v>
      </c>
      <c r="E33" s="25" t="s">
        <v>47</v>
      </c>
      <c r="F33" s="18" t="s">
        <v>46</v>
      </c>
      <c r="G33" s="40">
        <v>1</v>
      </c>
      <c r="H33" s="41">
        <v>7143</v>
      </c>
      <c r="I33" s="41">
        <v>7143</v>
      </c>
      <c r="J33" s="40"/>
      <c r="K33" s="40"/>
      <c r="L33" s="40"/>
      <c r="M33" s="12"/>
      <c r="N33" s="68"/>
      <c r="O33" s="66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</row>
    <row r="34" spans="1:1017" s="14" customFormat="1" ht="90" customHeight="1" x14ac:dyDescent="0.25">
      <c r="A34" s="8">
        <v>16</v>
      </c>
      <c r="B34" s="55" t="s">
        <v>38</v>
      </c>
      <c r="C34" s="55">
        <v>44</v>
      </c>
      <c r="D34" s="56" t="s">
        <v>30</v>
      </c>
      <c r="E34" s="25" t="s">
        <v>47</v>
      </c>
      <c r="F34" s="18" t="s">
        <v>46</v>
      </c>
      <c r="G34" s="40">
        <v>3</v>
      </c>
      <c r="H34" s="41">
        <v>7143</v>
      </c>
      <c r="I34" s="40">
        <v>21429</v>
      </c>
      <c r="J34" s="40"/>
      <c r="K34" s="40"/>
      <c r="L34" s="40"/>
      <c r="M34" s="12"/>
      <c r="N34" s="64"/>
      <c r="O34" s="66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</row>
    <row r="35" spans="1:1017" s="14" customFormat="1" ht="62.1" customHeight="1" x14ac:dyDescent="0.25">
      <c r="A35" s="8">
        <v>17</v>
      </c>
      <c r="B35" s="10" t="s">
        <v>48</v>
      </c>
      <c r="C35" s="46"/>
      <c r="D35" s="58" t="s">
        <v>30</v>
      </c>
      <c r="E35" s="9" t="s">
        <v>51</v>
      </c>
      <c r="F35" s="10" t="s">
        <v>29</v>
      </c>
      <c r="G35" s="40">
        <v>5</v>
      </c>
      <c r="H35" s="43">
        <v>5620</v>
      </c>
      <c r="I35" s="40">
        <v>28100</v>
      </c>
      <c r="J35" s="40"/>
      <c r="K35" s="40"/>
      <c r="L35" s="40"/>
      <c r="M35" s="12"/>
      <c r="N35" s="64"/>
      <c r="O35" s="13"/>
      <c r="P35" s="13"/>
      <c r="Q35" s="13"/>
      <c r="R35" s="13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</row>
    <row r="36" spans="1:1017" s="14" customFormat="1" ht="62.1" customHeight="1" x14ac:dyDescent="0.25">
      <c r="A36" s="8">
        <v>18</v>
      </c>
      <c r="B36" s="17" t="s">
        <v>49</v>
      </c>
      <c r="C36" s="17"/>
      <c r="D36" s="58" t="s">
        <v>30</v>
      </c>
      <c r="E36" s="26" t="s">
        <v>52</v>
      </c>
      <c r="F36" s="10" t="s">
        <v>29</v>
      </c>
      <c r="G36" s="40">
        <v>5</v>
      </c>
      <c r="H36" s="40">
        <v>14040</v>
      </c>
      <c r="I36" s="40">
        <v>70200</v>
      </c>
      <c r="J36" s="40"/>
      <c r="K36" s="40"/>
      <c r="L36" s="40"/>
      <c r="M36" s="12"/>
      <c r="N36" s="69"/>
      <c r="O36" s="66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</row>
    <row r="37" spans="1:1017" s="14" customFormat="1" ht="62.1" customHeight="1" x14ac:dyDescent="0.25">
      <c r="A37" s="8">
        <v>19</v>
      </c>
      <c r="B37" s="17" t="s">
        <v>50</v>
      </c>
      <c r="C37" s="17"/>
      <c r="D37" s="59" t="s">
        <v>30</v>
      </c>
      <c r="E37" s="17" t="s">
        <v>53</v>
      </c>
      <c r="F37" s="10" t="s">
        <v>29</v>
      </c>
      <c r="G37" s="40">
        <v>5</v>
      </c>
      <c r="H37" s="41">
        <v>14400</v>
      </c>
      <c r="I37" s="40">
        <v>7200</v>
      </c>
      <c r="J37" s="40"/>
      <c r="K37" s="40"/>
      <c r="L37" s="40"/>
      <c r="M37" s="12"/>
      <c r="N37" s="66"/>
      <c r="O37" s="66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</row>
    <row r="38" spans="1:1017" s="14" customFormat="1" ht="62.1" customHeight="1" x14ac:dyDescent="0.25">
      <c r="A38" s="8">
        <v>20</v>
      </c>
      <c r="B38" s="55"/>
      <c r="C38" s="55"/>
      <c r="D38" s="50"/>
      <c r="E38" s="24"/>
      <c r="F38" s="17"/>
      <c r="G38" s="40"/>
      <c r="H38" s="40"/>
      <c r="I38" s="40"/>
      <c r="J38" s="40"/>
      <c r="K38" s="40"/>
      <c r="L38" s="40"/>
      <c r="M38" s="12"/>
      <c r="N38" s="66"/>
      <c r="O38" s="66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</row>
    <row r="39" spans="1:1017" s="14" customFormat="1" ht="62.1" customHeight="1" x14ac:dyDescent="0.25">
      <c r="A39" s="8">
        <v>21</v>
      </c>
      <c r="B39" s="17"/>
      <c r="C39" s="17"/>
      <c r="D39" s="52"/>
      <c r="E39" s="16"/>
      <c r="F39" s="11"/>
      <c r="G39" s="40"/>
      <c r="H39" s="44"/>
      <c r="I39" s="40"/>
      <c r="J39" s="40"/>
      <c r="K39" s="40"/>
      <c r="L39" s="40"/>
      <c r="M39" s="12"/>
      <c r="N39" s="66"/>
      <c r="O39" s="13"/>
      <c r="P39" s="13"/>
      <c r="Q39" s="13"/>
      <c r="R39" s="13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</row>
    <row r="40" spans="1:1017" s="14" customFormat="1" ht="62.1" customHeight="1" x14ac:dyDescent="0.25">
      <c r="A40" s="8">
        <v>22</v>
      </c>
      <c r="B40" s="17"/>
      <c r="C40" s="17"/>
      <c r="D40" s="48"/>
      <c r="E40" s="26"/>
      <c r="F40" s="11"/>
      <c r="G40" s="40"/>
      <c r="H40" s="40"/>
      <c r="I40" s="40"/>
      <c r="J40" s="40"/>
      <c r="K40" s="40"/>
      <c r="L40" s="40"/>
      <c r="M40" s="12"/>
      <c r="N40" s="66"/>
      <c r="O40" s="66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</row>
    <row r="41" spans="1:1017" s="14" customFormat="1" ht="62.1" customHeight="1" x14ac:dyDescent="0.25">
      <c r="A41" s="8">
        <v>23</v>
      </c>
      <c r="B41" s="17"/>
      <c r="C41" s="17"/>
      <c r="D41" s="48"/>
      <c r="E41" s="28"/>
      <c r="F41" s="11"/>
      <c r="G41" s="40"/>
      <c r="H41" s="44"/>
      <c r="I41" s="40"/>
      <c r="J41" s="40"/>
      <c r="K41" s="40"/>
      <c r="L41" s="40"/>
      <c r="M41" s="12"/>
      <c r="N41" s="66"/>
      <c r="O41" s="13"/>
      <c r="P41" s="13"/>
      <c r="Q41" s="13"/>
      <c r="R41" s="13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</row>
    <row r="42" spans="1:1017" s="14" customFormat="1" ht="62.1" customHeight="1" x14ac:dyDescent="0.25">
      <c r="A42" s="8">
        <v>24</v>
      </c>
      <c r="B42" s="10"/>
      <c r="C42" s="10"/>
      <c r="D42" s="53"/>
      <c r="E42" s="29"/>
      <c r="F42" s="10"/>
      <c r="G42" s="40"/>
      <c r="H42" s="43"/>
      <c r="I42" s="40"/>
      <c r="J42" s="40"/>
      <c r="K42" s="40"/>
      <c r="L42" s="40"/>
      <c r="M42" s="12"/>
      <c r="N42" s="66"/>
      <c r="O42" s="13"/>
      <c r="P42" s="13"/>
      <c r="Q42" s="13"/>
      <c r="R42" s="13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</row>
    <row r="43" spans="1:1017" s="14" customFormat="1" ht="62.1" customHeight="1" x14ac:dyDescent="0.25">
      <c r="A43" s="8">
        <v>25</v>
      </c>
      <c r="B43" s="17"/>
      <c r="C43" s="17"/>
      <c r="D43" s="54"/>
      <c r="E43" s="30"/>
      <c r="F43" s="23"/>
      <c r="G43" s="40"/>
      <c r="H43" s="40"/>
      <c r="I43" s="40"/>
      <c r="J43" s="40"/>
      <c r="K43" s="40"/>
      <c r="L43" s="40"/>
      <c r="M43" s="12"/>
      <c r="N43" s="66"/>
      <c r="O43" s="13"/>
      <c r="P43" s="13"/>
      <c r="Q43" s="13"/>
      <c r="R43" s="13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</row>
    <row r="44" spans="1:1017" s="14" customFormat="1" ht="62.1" customHeight="1" x14ac:dyDescent="0.25">
      <c r="A44" s="8">
        <v>26</v>
      </c>
      <c r="B44" s="17"/>
      <c r="C44" s="17"/>
      <c r="D44" s="49"/>
      <c r="E44" s="30"/>
      <c r="F44" s="11"/>
      <c r="G44" s="40"/>
      <c r="H44" s="44"/>
      <c r="I44" s="40"/>
      <c r="J44" s="40"/>
      <c r="K44" s="40"/>
      <c r="L44" s="40"/>
      <c r="M44" s="12"/>
      <c r="N44" s="66"/>
      <c r="O44" s="13"/>
      <c r="P44" s="13"/>
      <c r="Q44" s="13"/>
      <c r="R44" s="13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</row>
    <row r="45" spans="1:1017" s="14" customFormat="1" ht="62.1" customHeight="1" x14ac:dyDescent="0.25">
      <c r="A45" s="8">
        <v>27</v>
      </c>
      <c r="B45" s="17"/>
      <c r="C45" s="17"/>
      <c r="D45" s="52"/>
      <c r="E45" s="16"/>
      <c r="F45" s="11"/>
      <c r="G45" s="40"/>
      <c r="H45" s="44"/>
      <c r="I45" s="40"/>
      <c r="J45" s="40"/>
      <c r="K45" s="40"/>
      <c r="L45" s="40"/>
      <c r="M45" s="12"/>
      <c r="N45" s="66"/>
      <c r="O45" s="66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</row>
    <row r="46" spans="1:1017" s="14" customFormat="1" ht="62.1" customHeight="1" x14ac:dyDescent="0.25">
      <c r="A46" s="8">
        <v>28</v>
      </c>
      <c r="B46" s="17"/>
      <c r="C46" s="17"/>
      <c r="D46" s="54"/>
      <c r="E46" s="16"/>
      <c r="F46" s="31"/>
      <c r="G46" s="42"/>
      <c r="H46" s="42"/>
      <c r="I46" s="42"/>
      <c r="J46" s="40"/>
      <c r="K46" s="40"/>
      <c r="L46" s="40"/>
      <c r="M46" s="12"/>
      <c r="N46" s="66"/>
      <c r="O46" s="66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</row>
    <row r="47" spans="1:1017" s="14" customFormat="1" ht="62.1" customHeight="1" x14ac:dyDescent="0.25">
      <c r="A47" s="8">
        <v>29</v>
      </c>
      <c r="B47" s="17"/>
      <c r="C47" s="17"/>
      <c r="D47" s="51"/>
      <c r="E47" s="22"/>
      <c r="F47" s="31"/>
      <c r="G47" s="42"/>
      <c r="H47" s="42"/>
      <c r="I47" s="42"/>
      <c r="J47" s="40"/>
      <c r="K47" s="40"/>
      <c r="L47" s="40"/>
      <c r="M47" s="12"/>
      <c r="N47" s="66"/>
      <c r="O47" s="66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</row>
    <row r="48" spans="1:1017" s="14" customFormat="1" ht="62.1" customHeight="1" x14ac:dyDescent="0.25">
      <c r="A48" s="8">
        <v>30</v>
      </c>
      <c r="B48" s="17"/>
      <c r="C48" s="17"/>
      <c r="D48" s="54"/>
      <c r="E48" s="22"/>
      <c r="F48" s="31"/>
      <c r="G48" s="42"/>
      <c r="H48" s="42"/>
      <c r="I48" s="42"/>
      <c r="J48" s="40"/>
      <c r="K48" s="40"/>
      <c r="L48" s="40"/>
      <c r="M48" s="12"/>
      <c r="N48" s="66"/>
      <c r="O48" s="66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</row>
    <row r="49" spans="1:1017" s="14" customFormat="1" ht="62.1" customHeight="1" x14ac:dyDescent="0.25">
      <c r="A49" s="8">
        <v>31</v>
      </c>
      <c r="B49" s="17"/>
      <c r="C49" s="17"/>
      <c r="D49" s="54"/>
      <c r="E49" s="22"/>
      <c r="F49" s="31"/>
      <c r="G49" s="42"/>
      <c r="H49" s="42"/>
      <c r="I49" s="42"/>
      <c r="J49" s="40"/>
      <c r="K49" s="40"/>
      <c r="L49" s="40"/>
      <c r="M49" s="12"/>
      <c r="N49" s="66"/>
      <c r="O49" s="66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</row>
    <row r="50" spans="1:1017" s="14" customFormat="1" ht="62.1" customHeight="1" x14ac:dyDescent="0.25">
      <c r="A50" s="8">
        <v>32</v>
      </c>
      <c r="B50" s="40"/>
      <c r="C50" s="40"/>
      <c r="D50" s="54"/>
      <c r="E50" s="32"/>
      <c r="F50" s="33"/>
      <c r="G50" s="40"/>
      <c r="H50" s="40"/>
      <c r="I50" s="40"/>
      <c r="J50" s="40"/>
      <c r="K50" s="40"/>
      <c r="L50" s="40"/>
      <c r="M50" s="12"/>
      <c r="N50" s="66"/>
      <c r="O50" s="13"/>
      <c r="P50" s="13"/>
      <c r="Q50" s="13"/>
      <c r="R50" s="13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/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/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</row>
    <row r="51" spans="1:1017" s="14" customFormat="1" ht="62.1" customHeight="1" x14ac:dyDescent="0.25">
      <c r="A51" s="8">
        <v>33</v>
      </c>
      <c r="B51" s="17"/>
      <c r="C51" s="17"/>
      <c r="D51" s="53"/>
      <c r="E51" s="9"/>
      <c r="F51" s="10"/>
      <c r="G51" s="40"/>
      <c r="H51" s="43"/>
      <c r="I51" s="40"/>
      <c r="J51" s="40"/>
      <c r="K51" s="40"/>
      <c r="L51" s="40"/>
      <c r="M51" s="12"/>
      <c r="N51" s="66"/>
      <c r="O51" s="66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</row>
    <row r="52" spans="1:1017" s="14" customFormat="1" ht="62.1" customHeight="1" x14ac:dyDescent="0.25">
      <c r="A52" s="8">
        <v>34</v>
      </c>
      <c r="B52" s="27"/>
      <c r="C52" s="27"/>
      <c r="D52" s="50"/>
      <c r="E52" s="29"/>
      <c r="F52" s="18"/>
      <c r="G52" s="41"/>
      <c r="H52" s="41"/>
      <c r="I52" s="40"/>
      <c r="J52" s="40"/>
      <c r="K52" s="40"/>
      <c r="L52" s="40"/>
      <c r="M52" s="12"/>
      <c r="N52" s="66"/>
      <c r="O52" s="66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</row>
    <row r="53" spans="1:1017" s="14" customFormat="1" ht="62.1" customHeight="1" x14ac:dyDescent="0.25">
      <c r="A53" s="8">
        <v>35</v>
      </c>
      <c r="B53" s="17"/>
      <c r="C53" s="17"/>
      <c r="D53" s="54"/>
      <c r="E53" s="16"/>
      <c r="F53" s="34"/>
      <c r="G53" s="40"/>
      <c r="H53" s="44"/>
      <c r="I53" s="40"/>
      <c r="J53" s="40"/>
      <c r="K53" s="40"/>
      <c r="L53" s="40"/>
      <c r="M53" s="12"/>
      <c r="N53" s="66"/>
      <c r="O53" s="66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</row>
    <row r="54" spans="1:1017" s="14" customFormat="1" ht="62.1" customHeight="1" x14ac:dyDescent="0.25">
      <c r="A54" s="8">
        <v>36</v>
      </c>
      <c r="B54" s="27"/>
      <c r="C54" s="27"/>
      <c r="D54" s="50"/>
      <c r="E54" s="24"/>
      <c r="F54" s="27"/>
      <c r="G54" s="40"/>
      <c r="H54" s="41"/>
      <c r="I54" s="40"/>
      <c r="J54" s="40"/>
      <c r="K54" s="40"/>
      <c r="L54" s="40"/>
      <c r="M54" s="12"/>
      <c r="N54" s="66"/>
      <c r="O54" s="13"/>
      <c r="P54" s="13"/>
      <c r="Q54" s="13"/>
      <c r="R54" s="13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</row>
    <row r="55" spans="1:1017" s="14" customFormat="1" ht="62.1" customHeight="1" x14ac:dyDescent="0.25">
      <c r="A55" s="8">
        <v>37</v>
      </c>
      <c r="B55" s="10"/>
      <c r="C55" s="46"/>
      <c r="D55" s="47"/>
      <c r="E55" s="29"/>
      <c r="F55" s="10"/>
      <c r="G55" s="40"/>
      <c r="H55" s="43"/>
      <c r="I55" s="40"/>
      <c r="J55" s="40"/>
      <c r="K55" s="40"/>
      <c r="L55" s="40"/>
      <c r="M55" s="12"/>
      <c r="N55" s="66"/>
      <c r="O55" s="13"/>
      <c r="P55" s="13"/>
      <c r="Q55" s="13"/>
      <c r="R55" s="13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</row>
    <row r="56" spans="1:1017" s="14" customFormat="1" ht="62.1" customHeight="1" x14ac:dyDescent="0.25">
      <c r="A56" s="8">
        <v>38</v>
      </c>
      <c r="B56" s="17"/>
      <c r="C56" s="17"/>
      <c r="D56" s="53"/>
      <c r="E56" s="15"/>
      <c r="F56" s="10"/>
      <c r="G56" s="40"/>
      <c r="H56" s="43"/>
      <c r="I56" s="40"/>
      <c r="J56" s="40"/>
      <c r="K56" s="40"/>
      <c r="L56" s="40"/>
      <c r="M56" s="12"/>
      <c r="N56" s="66"/>
      <c r="O56" s="66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</row>
    <row r="57" spans="1:1017" s="14" customFormat="1" ht="62.1" customHeight="1" x14ac:dyDescent="0.25">
      <c r="A57" s="8">
        <v>39</v>
      </c>
      <c r="B57" s="27"/>
      <c r="C57" s="27"/>
      <c r="D57" s="50"/>
      <c r="E57" s="17"/>
      <c r="F57" s="18"/>
      <c r="G57" s="41"/>
      <c r="H57" s="41"/>
      <c r="I57" s="40"/>
      <c r="J57" s="40"/>
      <c r="K57" s="40"/>
      <c r="L57" s="40"/>
      <c r="M57" s="12"/>
      <c r="N57" s="66"/>
      <c r="O57" s="66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/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</row>
    <row r="58" spans="1:1017" s="14" customFormat="1" ht="62.1" customHeight="1" x14ac:dyDescent="0.25">
      <c r="A58" s="8">
        <v>40</v>
      </c>
      <c r="B58" s="27"/>
      <c r="C58" s="27"/>
      <c r="D58" s="50"/>
      <c r="E58" s="24"/>
      <c r="F58" s="27"/>
      <c r="G58" s="40"/>
      <c r="H58" s="41"/>
      <c r="I58" s="40"/>
      <c r="J58" s="40"/>
      <c r="K58" s="40"/>
      <c r="L58" s="40"/>
      <c r="M58" s="12"/>
      <c r="N58" s="66"/>
      <c r="O58" s="66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</row>
    <row r="59" spans="1:1017" s="14" customFormat="1" ht="62.1" customHeight="1" x14ac:dyDescent="0.25">
      <c r="A59" s="8">
        <v>41</v>
      </c>
      <c r="B59" s="27"/>
      <c r="C59" s="27"/>
      <c r="D59" s="50"/>
      <c r="E59" s="17"/>
      <c r="F59" s="18"/>
      <c r="G59" s="41"/>
      <c r="H59" s="41"/>
      <c r="I59" s="40"/>
      <c r="J59" s="40"/>
      <c r="K59" s="40"/>
      <c r="L59" s="40"/>
      <c r="M59" s="12"/>
      <c r="N59" s="66"/>
      <c r="O59" s="66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</row>
    <row r="60" spans="1:1017" s="14" customFormat="1" ht="62.1" customHeight="1" x14ac:dyDescent="0.25">
      <c r="A60" s="8">
        <v>42</v>
      </c>
      <c r="B60" s="17"/>
      <c r="C60" s="17"/>
      <c r="D60" s="51"/>
      <c r="E60" s="35"/>
      <c r="F60" s="33"/>
      <c r="G60" s="40"/>
      <c r="H60" s="40"/>
      <c r="I60" s="40"/>
      <c r="J60" s="40"/>
      <c r="K60" s="40"/>
      <c r="L60" s="40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</row>
    <row r="61" spans="1:1017" s="14" customFormat="1" ht="62.1" customHeight="1" x14ac:dyDescent="0.25">
      <c r="A61" s="8">
        <v>43</v>
      </c>
      <c r="B61" s="40"/>
      <c r="C61" s="17"/>
      <c r="D61" s="54"/>
      <c r="E61" s="32"/>
      <c r="F61" s="33"/>
      <c r="G61" s="40"/>
      <c r="H61" s="40"/>
      <c r="I61" s="40"/>
      <c r="J61" s="40"/>
      <c r="K61" s="40"/>
      <c r="L61" s="40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</row>
    <row r="62" spans="1:1017" s="14" customFormat="1" ht="62.1" customHeight="1" x14ac:dyDescent="0.25">
      <c r="A62" s="8">
        <v>44</v>
      </c>
      <c r="B62" s="17"/>
      <c r="C62" s="17"/>
      <c r="D62" s="54"/>
      <c r="E62" s="30"/>
      <c r="F62" s="23"/>
      <c r="G62" s="40"/>
      <c r="H62" s="40"/>
      <c r="I62" s="40"/>
      <c r="J62" s="40"/>
      <c r="K62" s="40"/>
      <c r="L62" s="40"/>
      <c r="M62" s="12"/>
      <c r="N62" s="12"/>
      <c r="O62" s="13"/>
      <c r="P62" s="13"/>
      <c r="Q62" s="13"/>
      <c r="R62" s="13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</row>
    <row r="63" spans="1:1017" s="14" customFormat="1" ht="62.1" customHeight="1" x14ac:dyDescent="0.25">
      <c r="A63" s="8">
        <v>45</v>
      </c>
      <c r="B63" s="34"/>
      <c r="C63" s="34"/>
      <c r="D63" s="51"/>
      <c r="E63" s="36"/>
      <c r="F63" s="34"/>
      <c r="G63" s="40"/>
      <c r="H63" s="44"/>
      <c r="I63" s="40"/>
      <c r="J63" s="40"/>
      <c r="K63" s="40"/>
      <c r="L63" s="40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</row>
    <row r="64" spans="1:1017" s="14" customFormat="1" ht="62.1" customHeight="1" x14ac:dyDescent="0.25">
      <c r="A64" s="8">
        <v>46</v>
      </c>
      <c r="B64" s="17"/>
      <c r="C64" s="17"/>
      <c r="D64" s="49"/>
      <c r="E64" s="30"/>
      <c r="F64" s="11"/>
      <c r="G64" s="40"/>
      <c r="H64" s="44"/>
      <c r="I64" s="40"/>
      <c r="J64" s="40"/>
      <c r="K64" s="40"/>
      <c r="L64" s="40"/>
      <c r="M64" s="12"/>
      <c r="N64" s="12"/>
      <c r="O64" s="13"/>
      <c r="P64" s="13"/>
      <c r="Q64" s="13"/>
      <c r="R64" s="13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</row>
    <row r="65" spans="1:1022" s="14" customFormat="1" ht="62.1" customHeight="1" x14ac:dyDescent="0.25">
      <c r="A65" s="8">
        <v>47</v>
      </c>
      <c r="B65" s="34"/>
      <c r="C65" s="34"/>
      <c r="D65" s="54"/>
      <c r="E65" s="36"/>
      <c r="F65" s="34"/>
      <c r="G65" s="40"/>
      <c r="H65" s="44"/>
      <c r="I65" s="40"/>
      <c r="J65" s="40"/>
      <c r="K65" s="40"/>
      <c r="L65" s="40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</row>
    <row r="66" spans="1:1022" s="14" customFormat="1" ht="62.1" customHeight="1" x14ac:dyDescent="0.25">
      <c r="A66" s="8">
        <v>48</v>
      </c>
      <c r="B66" s="17"/>
      <c r="C66" s="17"/>
      <c r="D66" s="54"/>
      <c r="E66" s="29"/>
      <c r="F66" s="23"/>
      <c r="G66" s="40"/>
      <c r="H66" s="40"/>
      <c r="I66" s="40"/>
      <c r="J66" s="40"/>
      <c r="K66" s="40"/>
      <c r="L66" s="40"/>
      <c r="M66" s="12"/>
      <c r="N66" s="12"/>
      <c r="O66" s="13"/>
      <c r="P66" s="13"/>
      <c r="Q66" s="13"/>
      <c r="R66" s="13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</row>
    <row r="67" spans="1:1022" s="14" customFormat="1" ht="62.1" customHeight="1" x14ac:dyDescent="0.25">
      <c r="A67" s="8">
        <v>49</v>
      </c>
      <c r="B67" s="10"/>
      <c r="C67" s="46"/>
      <c r="D67" s="47"/>
      <c r="E67" s="9"/>
      <c r="F67" s="10"/>
      <c r="G67" s="40"/>
      <c r="H67" s="43"/>
      <c r="I67" s="40"/>
      <c r="J67" s="40"/>
      <c r="K67" s="40"/>
      <c r="L67" s="40"/>
      <c r="M67" s="12"/>
      <c r="N67" s="12"/>
      <c r="O67" s="13"/>
      <c r="P67" s="13"/>
      <c r="Q67" s="13"/>
      <c r="R67" s="13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/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</row>
    <row r="68" spans="1:1022" s="14" customFormat="1" ht="62.1" customHeight="1" x14ac:dyDescent="0.25">
      <c r="A68" s="8">
        <v>50</v>
      </c>
      <c r="B68" s="17"/>
      <c r="C68" s="17"/>
      <c r="D68" s="51"/>
      <c r="E68" s="37"/>
      <c r="F68" s="31"/>
      <c r="G68" s="42"/>
      <c r="H68" s="42"/>
      <c r="I68" s="42"/>
      <c r="J68" s="40"/>
      <c r="K68" s="40"/>
      <c r="L68" s="40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/>
      <c r="MB68" s="12"/>
      <c r="MC68" s="12"/>
      <c r="MD68" s="12"/>
      <c r="ME68" s="12"/>
      <c r="MF68" s="12"/>
      <c r="MG68" s="12"/>
      <c r="MH68" s="12"/>
      <c r="MI68" s="12"/>
      <c r="MJ68" s="12"/>
      <c r="MK68" s="12"/>
      <c r="ML68" s="12"/>
      <c r="MM68" s="12"/>
      <c r="MN68" s="12"/>
      <c r="MO68" s="12"/>
      <c r="MP68" s="12"/>
      <c r="MQ68" s="12"/>
      <c r="MR68" s="12"/>
      <c r="MS68" s="12"/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</row>
    <row r="69" spans="1:1022" ht="19.5" customHeight="1" x14ac:dyDescent="0.25">
      <c r="A69" s="87" t="s">
        <v>24</v>
      </c>
      <c r="B69" s="87"/>
      <c r="C69" s="87"/>
      <c r="D69" s="87"/>
      <c r="E69" s="87"/>
      <c r="F69" s="87"/>
      <c r="G69" s="87"/>
      <c r="H69" s="87"/>
      <c r="I69" s="61">
        <f>SUM(I19:I68)</f>
        <v>216060</v>
      </c>
      <c r="J69" s="6"/>
      <c r="K69" s="6"/>
      <c r="L69" s="6"/>
      <c r="AMD69"/>
      <c r="AME69"/>
      <c r="AMF69"/>
      <c r="AMG69"/>
      <c r="AMH69"/>
    </row>
    <row r="71" spans="1:1022" x14ac:dyDescent="0.25">
      <c r="AMD71"/>
      <c r="AME71"/>
      <c r="AMF71"/>
      <c r="AMG71"/>
      <c r="AMH71"/>
    </row>
  </sheetData>
  <sortState ref="A19:M68">
    <sortCondition ref="B19:B68"/>
  </sortState>
  <mergeCells count="24">
    <mergeCell ref="A17:C17"/>
    <mergeCell ref="A16:C16"/>
    <mergeCell ref="D17:L17"/>
    <mergeCell ref="D16:L16"/>
    <mergeCell ref="A69:H69"/>
    <mergeCell ref="F1:L1"/>
    <mergeCell ref="F2:L2"/>
    <mergeCell ref="F3:L3"/>
    <mergeCell ref="A10:C10"/>
    <mergeCell ref="D10:L10"/>
    <mergeCell ref="A9:L9"/>
    <mergeCell ref="A8:C8"/>
    <mergeCell ref="D8:L8"/>
    <mergeCell ref="A7:L7"/>
    <mergeCell ref="A6:L6"/>
    <mergeCell ref="A11:C11"/>
    <mergeCell ref="A12:C12"/>
    <mergeCell ref="D15:L15"/>
    <mergeCell ref="A13:L13"/>
    <mergeCell ref="D12:L12"/>
    <mergeCell ref="D11:L11"/>
    <mergeCell ref="A14:C14"/>
    <mergeCell ref="A15:C15"/>
    <mergeCell ref="D14:L14"/>
  </mergeCells>
  <hyperlinks>
    <hyperlink ref="D19" r:id="rId1"/>
    <hyperlink ref="D20" r:id="rId2"/>
    <hyperlink ref="D21" r:id="rId3"/>
    <hyperlink ref="D22" r:id="rId4"/>
    <hyperlink ref="D23:D24" r:id="rId5" display="Техноавиа"/>
    <hyperlink ref="D25" r:id="rId6"/>
    <hyperlink ref="D26" r:id="rId7"/>
    <hyperlink ref="D29" r:id="rId8"/>
    <hyperlink ref="D30:D31" r:id="rId9" display="Техноавиа"/>
    <hyperlink ref="D32" r:id="rId10"/>
    <hyperlink ref="D33:D34" r:id="rId11" display="Техноавиа"/>
    <hyperlink ref="D35" r:id="rId12"/>
    <hyperlink ref="D36" r:id="rId13"/>
    <hyperlink ref="D37" r:id="rId14"/>
  </hyperlinks>
  <pageMargins left="0.70833333333333304" right="0.70833333333333304" top="0.74791666666666701" bottom="0.74791666666666701" header="0.51180555555555496" footer="0.51180555555555496"/>
  <pageSetup paperSize="9" scale="80" firstPageNumber="0" orientation="landscape" horizontalDpi="300" verticalDpi="300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D29"/>
  <sheetViews>
    <sheetView tabSelected="1" workbookViewId="0">
      <selection activeCell="A4" sqref="A4:B5"/>
    </sheetView>
  </sheetViews>
  <sheetFormatPr defaultRowHeight="15" x14ac:dyDescent="0.25"/>
  <cols>
    <col min="1" max="1" width="6.140625" style="1" customWidth="1"/>
    <col min="2" max="2" width="51.85546875" style="1" customWidth="1"/>
    <col min="3" max="3" width="0.28515625" style="70" hidden="1" customWidth="1"/>
    <col min="4" max="4" width="2.140625" style="70" hidden="1" customWidth="1"/>
    <col min="5" max="5" width="5.85546875" style="70" customWidth="1"/>
    <col min="6" max="6" width="11.42578125" style="7" customWidth="1"/>
    <col min="7" max="7" width="15.42578125" style="45" customWidth="1"/>
    <col min="8" max="8" width="12.140625" style="62" customWidth="1"/>
    <col min="9" max="9" width="9.140625" style="1" customWidth="1"/>
    <col min="10" max="10" width="27.5703125" style="1" customWidth="1"/>
    <col min="11" max="11" width="18.85546875" style="1" customWidth="1"/>
    <col min="12" max="1018" width="9.140625" style="1" customWidth="1"/>
    <col min="1019" max="1020" width="9.140625" customWidth="1"/>
  </cols>
  <sheetData>
    <row r="1" spans="1:11" x14ac:dyDescent="0.25">
      <c r="E1" s="82" t="s">
        <v>18</v>
      </c>
      <c r="F1" s="82"/>
      <c r="G1" s="82"/>
      <c r="H1" s="82"/>
    </row>
    <row r="2" spans="1:11" x14ac:dyDescent="0.25">
      <c r="E2" s="82" t="s">
        <v>19</v>
      </c>
      <c r="F2" s="82"/>
      <c r="G2" s="82"/>
      <c r="H2" s="82"/>
    </row>
    <row r="3" spans="1:11" x14ac:dyDescent="0.25">
      <c r="E3" s="82" t="s">
        <v>20</v>
      </c>
      <c r="F3" s="82"/>
      <c r="G3" s="82"/>
      <c r="H3" s="82"/>
    </row>
    <row r="4" spans="1:11" ht="20.100000000000001" customHeight="1" x14ac:dyDescent="0.25">
      <c r="A4" s="85" t="s">
        <v>25</v>
      </c>
      <c r="B4" s="86"/>
      <c r="C4" s="86"/>
      <c r="D4" s="86"/>
      <c r="E4" s="86"/>
      <c r="F4" s="86"/>
      <c r="G4" s="86"/>
      <c r="H4" s="86"/>
    </row>
    <row r="5" spans="1:11" ht="20.100000000000001" customHeight="1" x14ac:dyDescent="0.25">
      <c r="A5" s="83" t="s">
        <v>0</v>
      </c>
      <c r="B5" s="84"/>
      <c r="C5" s="84"/>
      <c r="D5" s="84"/>
      <c r="E5" s="84"/>
      <c r="F5" s="84"/>
      <c r="G5" s="84"/>
      <c r="H5" s="84"/>
    </row>
    <row r="6" spans="1:11" ht="20.100000000000001" customHeight="1" x14ac:dyDescent="0.25">
      <c r="A6" s="78" t="s">
        <v>21</v>
      </c>
      <c r="B6" s="78"/>
      <c r="C6" s="78"/>
      <c r="D6" s="80"/>
      <c r="E6" s="80"/>
      <c r="F6" s="80"/>
      <c r="G6" s="80"/>
      <c r="H6" s="80"/>
    </row>
    <row r="7" spans="1:11" s="3" customFormat="1" ht="20.100000000000001" customHeight="1" x14ac:dyDescent="0.25">
      <c r="A7" s="80" t="s">
        <v>1</v>
      </c>
      <c r="B7" s="80"/>
      <c r="C7" s="80"/>
      <c r="D7" s="80"/>
      <c r="E7" s="80"/>
      <c r="F7" s="80"/>
      <c r="G7" s="80"/>
      <c r="H7" s="80"/>
    </row>
    <row r="8" spans="1:11" s="3" customFormat="1" ht="20.100000000000001" customHeight="1" x14ac:dyDescent="0.25">
      <c r="A8" s="78" t="s">
        <v>2</v>
      </c>
      <c r="B8" s="78"/>
      <c r="C8" s="78"/>
      <c r="D8" s="81" t="s">
        <v>63</v>
      </c>
      <c r="E8" s="81"/>
      <c r="F8" s="81"/>
      <c r="G8" s="81"/>
      <c r="H8" s="81"/>
    </row>
    <row r="9" spans="1:11" s="3" customFormat="1" ht="20.100000000000001" customHeight="1" x14ac:dyDescent="0.25">
      <c r="A9" s="78" t="s">
        <v>3</v>
      </c>
      <c r="B9" s="78"/>
      <c r="C9" s="78"/>
      <c r="D9" s="81" t="s">
        <v>64</v>
      </c>
      <c r="E9" s="81"/>
      <c r="F9" s="81"/>
      <c r="G9" s="81"/>
      <c r="H9" s="81"/>
    </row>
    <row r="10" spans="1:11" s="3" customFormat="1" ht="20.100000000000001" customHeight="1" x14ac:dyDescent="0.25">
      <c r="A10" s="78" t="s">
        <v>4</v>
      </c>
      <c r="B10" s="78"/>
      <c r="C10" s="78"/>
      <c r="D10" s="81" t="s">
        <v>78</v>
      </c>
      <c r="E10" s="81"/>
      <c r="F10" s="81"/>
      <c r="G10" s="81"/>
      <c r="H10" s="81"/>
    </row>
    <row r="11" spans="1:11" s="3" customFormat="1" ht="22.5" customHeight="1" x14ac:dyDescent="0.25">
      <c r="A11" s="80" t="s">
        <v>5</v>
      </c>
      <c r="B11" s="80"/>
      <c r="C11" s="80"/>
      <c r="D11" s="80"/>
      <c r="E11" s="80"/>
      <c r="F11" s="80"/>
      <c r="G11" s="80"/>
      <c r="H11" s="80"/>
    </row>
    <row r="12" spans="1:11" s="3" customFormat="1" ht="20.100000000000001" customHeight="1" x14ac:dyDescent="0.25">
      <c r="A12" s="78" t="s">
        <v>6</v>
      </c>
      <c r="B12" s="78"/>
      <c r="C12" s="78"/>
      <c r="D12" s="79" t="s">
        <v>57</v>
      </c>
      <c r="E12" s="79"/>
      <c r="F12" s="79"/>
      <c r="G12" s="79"/>
      <c r="H12" s="79"/>
    </row>
    <row r="13" spans="1:11" s="3" customFormat="1" ht="29.25" customHeight="1" x14ac:dyDescent="0.25">
      <c r="A13" s="78" t="s">
        <v>7</v>
      </c>
      <c r="B13" s="78"/>
      <c r="C13" s="78"/>
      <c r="D13" s="79" t="s">
        <v>58</v>
      </c>
      <c r="E13" s="79"/>
      <c r="F13" s="79"/>
      <c r="G13" s="79"/>
      <c r="H13" s="79"/>
    </row>
    <row r="14" spans="1:11" s="3" customFormat="1" ht="36.75" customHeight="1" x14ac:dyDescent="0.25">
      <c r="A14" s="78" t="s">
        <v>22</v>
      </c>
      <c r="B14" s="78"/>
      <c r="C14" s="78"/>
      <c r="D14" s="79" t="s">
        <v>65</v>
      </c>
      <c r="E14" s="79"/>
      <c r="F14" s="79"/>
      <c r="G14" s="79"/>
      <c r="H14" s="79"/>
    </row>
    <row r="15" spans="1:11" s="3" customFormat="1" ht="27.75" customHeight="1" x14ac:dyDescent="0.25">
      <c r="A15" s="78" t="s">
        <v>8</v>
      </c>
      <c r="B15" s="78"/>
      <c r="C15" s="78"/>
      <c r="D15" s="79" t="s">
        <v>66</v>
      </c>
      <c r="E15" s="79"/>
      <c r="F15" s="79"/>
      <c r="G15" s="79"/>
      <c r="H15" s="79"/>
    </row>
    <row r="16" spans="1:11" s="3" customFormat="1" ht="73.5" customHeight="1" x14ac:dyDescent="0.25">
      <c r="A16" s="71" t="s">
        <v>9</v>
      </c>
      <c r="B16" s="72" t="s">
        <v>10</v>
      </c>
      <c r="C16" s="72" t="s">
        <v>11</v>
      </c>
      <c r="D16" s="72" t="s">
        <v>12</v>
      </c>
      <c r="E16" s="72" t="s">
        <v>14</v>
      </c>
      <c r="F16" s="39" t="s">
        <v>15</v>
      </c>
      <c r="G16" s="39" t="s">
        <v>16</v>
      </c>
      <c r="H16" s="73" t="s">
        <v>17</v>
      </c>
      <c r="J16" s="63"/>
      <c r="K16" s="63"/>
    </row>
    <row r="17" spans="1:1018" s="14" customFormat="1" ht="30" x14ac:dyDescent="0.25">
      <c r="A17" s="30">
        <v>1</v>
      </c>
      <c r="B17" s="75" t="s">
        <v>71</v>
      </c>
      <c r="C17" s="46"/>
      <c r="D17" s="58" t="s">
        <v>30</v>
      </c>
      <c r="E17" s="10" t="s">
        <v>29</v>
      </c>
      <c r="F17" s="32">
        <v>2</v>
      </c>
      <c r="G17" s="43">
        <v>8100</v>
      </c>
      <c r="H17" s="40">
        <f>F17*G17*1.2</f>
        <v>19440</v>
      </c>
      <c r="I17" s="12"/>
      <c r="J17" s="64"/>
      <c r="K17" s="13"/>
      <c r="L17" s="13"/>
      <c r="M17" s="13"/>
      <c r="N17" s="13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</row>
    <row r="18" spans="1:1018" s="14" customFormat="1" ht="30" x14ac:dyDescent="0.25">
      <c r="A18" s="30">
        <v>2</v>
      </c>
      <c r="B18" s="75" t="s">
        <v>67</v>
      </c>
      <c r="C18" s="17"/>
      <c r="D18" s="51" t="s">
        <v>30</v>
      </c>
      <c r="E18" s="10" t="s">
        <v>29</v>
      </c>
      <c r="F18" s="32">
        <v>2</v>
      </c>
      <c r="G18" s="43">
        <v>7202</v>
      </c>
      <c r="H18" s="40">
        <f t="shared" ref="H18:H28" si="0">F18*G18*1.2</f>
        <v>17284.8</v>
      </c>
      <c r="I18" s="12"/>
      <c r="J18" s="64"/>
      <c r="K18" s="13"/>
      <c r="L18" s="13"/>
      <c r="M18" s="13"/>
      <c r="N18" s="13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</row>
    <row r="19" spans="1:1018" s="14" customFormat="1" ht="30" x14ac:dyDescent="0.25">
      <c r="A19" s="30">
        <v>3</v>
      </c>
      <c r="B19" s="75" t="s">
        <v>68</v>
      </c>
      <c r="C19" s="17"/>
      <c r="D19" s="51" t="s">
        <v>30</v>
      </c>
      <c r="E19" s="10" t="s">
        <v>29</v>
      </c>
      <c r="F19" s="32">
        <v>2</v>
      </c>
      <c r="G19" s="43">
        <v>7208</v>
      </c>
      <c r="H19" s="40">
        <f t="shared" si="0"/>
        <v>17299.2</v>
      </c>
      <c r="I19" s="12"/>
      <c r="J19" s="65"/>
      <c r="K19" s="13"/>
      <c r="L19" s="13"/>
      <c r="M19" s="13"/>
      <c r="N19" s="13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</row>
    <row r="20" spans="1:1018" s="14" customFormat="1" ht="60" x14ac:dyDescent="0.25">
      <c r="A20" s="30">
        <v>4</v>
      </c>
      <c r="B20" s="75" t="s">
        <v>69</v>
      </c>
      <c r="C20" s="17"/>
      <c r="D20" s="51" t="s">
        <v>30</v>
      </c>
      <c r="E20" s="10" t="s">
        <v>29</v>
      </c>
      <c r="F20" s="32">
        <v>2</v>
      </c>
      <c r="G20" s="43">
        <v>5000</v>
      </c>
      <c r="H20" s="40">
        <f t="shared" si="0"/>
        <v>12000</v>
      </c>
      <c r="I20" s="12"/>
      <c r="J20" s="64"/>
      <c r="K20" s="13"/>
      <c r="L20" s="13"/>
      <c r="M20" s="13"/>
      <c r="N20" s="13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</row>
    <row r="21" spans="1:1018" s="14" customFormat="1" ht="30" x14ac:dyDescent="0.25">
      <c r="A21" s="30">
        <v>5</v>
      </c>
      <c r="B21" s="75" t="s">
        <v>70</v>
      </c>
      <c r="C21" s="17"/>
      <c r="D21" s="58" t="s">
        <v>30</v>
      </c>
      <c r="E21" s="10" t="s">
        <v>29</v>
      </c>
      <c r="F21" s="32">
        <v>2</v>
      </c>
      <c r="G21" s="43">
        <v>2204</v>
      </c>
      <c r="H21" s="40">
        <f t="shared" si="0"/>
        <v>5289.5999999999995</v>
      </c>
      <c r="I21" s="12"/>
      <c r="J21" s="64"/>
      <c r="K21" s="13"/>
      <c r="L21" s="13"/>
      <c r="M21" s="13"/>
      <c r="N21" s="13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</row>
    <row r="22" spans="1:1018" s="14" customFormat="1" ht="30" x14ac:dyDescent="0.25">
      <c r="A22" s="30">
        <v>6</v>
      </c>
      <c r="B22" s="75" t="s">
        <v>61</v>
      </c>
      <c r="C22" s="17"/>
      <c r="D22" s="51" t="s">
        <v>30</v>
      </c>
      <c r="E22" s="10" t="s">
        <v>29</v>
      </c>
      <c r="F22" s="32">
        <v>24</v>
      </c>
      <c r="G22" s="43">
        <v>61</v>
      </c>
      <c r="H22" s="40">
        <f t="shared" si="0"/>
        <v>1756.8</v>
      </c>
      <c r="I22" s="19"/>
      <c r="J22" s="68"/>
      <c r="K22" s="20"/>
      <c r="L22" s="20"/>
      <c r="M22" s="20"/>
      <c r="N22" s="20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19"/>
      <c r="IV22" s="19"/>
      <c r="IW22" s="19"/>
      <c r="IX22" s="19"/>
      <c r="IY22" s="19"/>
      <c r="IZ22" s="19"/>
      <c r="JA22" s="19"/>
      <c r="JB22" s="19"/>
      <c r="JC22" s="19"/>
      <c r="JD22" s="19"/>
      <c r="JE22" s="19"/>
      <c r="JF22" s="19"/>
      <c r="JG22" s="19"/>
      <c r="JH22" s="19"/>
      <c r="JI22" s="19"/>
      <c r="JJ22" s="19"/>
      <c r="JK22" s="19"/>
      <c r="JL22" s="19"/>
      <c r="JM22" s="19"/>
      <c r="JN22" s="19"/>
      <c r="JO22" s="19"/>
      <c r="JP22" s="19"/>
      <c r="JQ22" s="19"/>
      <c r="JR22" s="19"/>
      <c r="JS22" s="19"/>
      <c r="JT22" s="19"/>
      <c r="JU22" s="19"/>
      <c r="JV22" s="19"/>
      <c r="JW22" s="19"/>
      <c r="JX22" s="19"/>
      <c r="JY22" s="19"/>
      <c r="JZ22" s="19"/>
      <c r="KA22" s="19"/>
      <c r="KB22" s="19"/>
      <c r="KC22" s="19"/>
      <c r="KD22" s="19"/>
      <c r="KE22" s="19"/>
      <c r="KF22" s="19"/>
      <c r="KG22" s="19"/>
      <c r="KH22" s="19"/>
      <c r="KI22" s="19"/>
      <c r="KJ22" s="19"/>
      <c r="KK22" s="19"/>
      <c r="KL22" s="19"/>
      <c r="KM22" s="19"/>
      <c r="KN22" s="19"/>
      <c r="KO22" s="19"/>
      <c r="KP22" s="19"/>
      <c r="KQ22" s="19"/>
      <c r="KR22" s="19"/>
      <c r="KS22" s="19"/>
      <c r="KT22" s="19"/>
      <c r="KU22" s="19"/>
      <c r="KV22" s="19"/>
      <c r="KW22" s="19"/>
      <c r="KX22" s="19"/>
      <c r="KY22" s="19"/>
      <c r="KZ22" s="19"/>
      <c r="LA22" s="19"/>
      <c r="LB22" s="19"/>
      <c r="LC22" s="19"/>
      <c r="LD22" s="19"/>
      <c r="LE22" s="19"/>
      <c r="LF22" s="19"/>
      <c r="LG22" s="19"/>
      <c r="LH22" s="19"/>
      <c r="LI22" s="19"/>
      <c r="LJ22" s="19"/>
      <c r="LK22" s="19"/>
      <c r="LL22" s="19"/>
      <c r="LM22" s="19"/>
      <c r="LN22" s="19"/>
      <c r="LO22" s="19"/>
      <c r="LP22" s="19"/>
      <c r="LQ22" s="19"/>
      <c r="LR22" s="19"/>
      <c r="LS22" s="19"/>
      <c r="LT22" s="19"/>
      <c r="LU22" s="19"/>
      <c r="LV22" s="19"/>
      <c r="LW22" s="19"/>
      <c r="LX22" s="19"/>
      <c r="LY22" s="19"/>
      <c r="LZ22" s="19"/>
      <c r="MA22" s="19"/>
      <c r="MB22" s="19"/>
      <c r="MC22" s="19"/>
      <c r="MD22" s="19"/>
      <c r="ME22" s="19"/>
      <c r="MF22" s="19"/>
      <c r="MG22" s="19"/>
      <c r="MH22" s="19"/>
      <c r="MI22" s="19"/>
      <c r="MJ22" s="19"/>
      <c r="MK22" s="19"/>
      <c r="ML22" s="19"/>
      <c r="MM22" s="19"/>
      <c r="MN22" s="19"/>
      <c r="MO22" s="19"/>
      <c r="MP22" s="19"/>
      <c r="MQ22" s="19"/>
      <c r="MR22" s="19"/>
      <c r="MS22" s="19"/>
      <c r="MT22" s="19"/>
      <c r="MU22" s="19"/>
      <c r="MV22" s="19"/>
      <c r="MW22" s="19"/>
      <c r="MX22" s="19"/>
      <c r="MY22" s="19"/>
      <c r="MZ22" s="19"/>
      <c r="NA22" s="19"/>
      <c r="NB22" s="19"/>
      <c r="NC22" s="19"/>
      <c r="ND22" s="19"/>
      <c r="NE22" s="19"/>
      <c r="NF22" s="19"/>
      <c r="NG22" s="19"/>
      <c r="NH22" s="19"/>
      <c r="NI22" s="19"/>
      <c r="NJ22" s="19"/>
      <c r="NK22" s="19"/>
      <c r="NL22" s="19"/>
      <c r="NM22" s="19"/>
      <c r="NN22" s="19"/>
      <c r="NO22" s="19"/>
      <c r="NP22" s="19"/>
      <c r="NQ22" s="19"/>
      <c r="NR22" s="19"/>
      <c r="NS22" s="19"/>
      <c r="NT22" s="19"/>
      <c r="NU22" s="19"/>
      <c r="NV22" s="19"/>
      <c r="NW22" s="19"/>
      <c r="NX22" s="19"/>
      <c r="NY22" s="19"/>
      <c r="NZ22" s="19"/>
      <c r="OA22" s="19"/>
      <c r="OB22" s="19"/>
      <c r="OC22" s="19"/>
      <c r="OD22" s="19"/>
      <c r="OE22" s="19"/>
      <c r="OF22" s="19"/>
      <c r="OG22" s="19"/>
      <c r="OH22" s="19"/>
      <c r="OI22" s="19"/>
      <c r="OJ22" s="19"/>
      <c r="OK22" s="19"/>
      <c r="OL22" s="19"/>
      <c r="OM22" s="19"/>
      <c r="ON22" s="19"/>
      <c r="OO22" s="19"/>
      <c r="OP22" s="19"/>
      <c r="OQ22" s="19"/>
      <c r="OR22" s="19"/>
      <c r="OS22" s="19"/>
      <c r="OT22" s="19"/>
      <c r="OU22" s="19"/>
      <c r="OV22" s="19"/>
      <c r="OW22" s="19"/>
      <c r="OX22" s="19"/>
      <c r="OY22" s="19"/>
      <c r="OZ22" s="19"/>
      <c r="PA22" s="19"/>
      <c r="PB22" s="19"/>
      <c r="PC22" s="19"/>
      <c r="PD22" s="19"/>
      <c r="PE22" s="19"/>
      <c r="PF22" s="19"/>
      <c r="PG22" s="19"/>
      <c r="PH22" s="19"/>
      <c r="PI22" s="19"/>
      <c r="PJ22" s="19"/>
      <c r="PK22" s="19"/>
      <c r="PL22" s="19"/>
      <c r="PM22" s="19"/>
      <c r="PN22" s="19"/>
      <c r="PO22" s="19"/>
      <c r="PP22" s="19"/>
      <c r="PQ22" s="19"/>
      <c r="PR22" s="19"/>
      <c r="PS22" s="19"/>
      <c r="PT22" s="19"/>
      <c r="PU22" s="19"/>
      <c r="PV22" s="19"/>
      <c r="PW22" s="19"/>
      <c r="PX22" s="19"/>
      <c r="PY22" s="19"/>
      <c r="PZ22" s="19"/>
      <c r="QA22" s="19"/>
      <c r="QB22" s="19"/>
      <c r="QC22" s="19"/>
      <c r="QD22" s="19"/>
      <c r="QE22" s="19"/>
      <c r="QF22" s="19"/>
      <c r="QG22" s="19"/>
      <c r="QH22" s="19"/>
      <c r="QI22" s="19"/>
      <c r="QJ22" s="19"/>
      <c r="QK22" s="19"/>
      <c r="QL22" s="19"/>
      <c r="QM22" s="19"/>
      <c r="QN22" s="19"/>
      <c r="QO22" s="19"/>
      <c r="QP22" s="19"/>
      <c r="QQ22" s="19"/>
      <c r="QR22" s="19"/>
      <c r="QS22" s="19"/>
      <c r="QT22" s="19"/>
      <c r="QU22" s="19"/>
      <c r="QV22" s="19"/>
      <c r="QW22" s="19"/>
      <c r="QX22" s="19"/>
      <c r="QY22" s="19"/>
      <c r="QZ22" s="19"/>
      <c r="RA22" s="19"/>
      <c r="RB22" s="19"/>
      <c r="RC22" s="19"/>
      <c r="RD22" s="19"/>
      <c r="RE22" s="19"/>
      <c r="RF22" s="19"/>
      <c r="RG22" s="19"/>
      <c r="RH22" s="19"/>
      <c r="RI22" s="19"/>
      <c r="RJ22" s="19"/>
      <c r="RK22" s="19"/>
      <c r="RL22" s="19"/>
      <c r="RM22" s="19"/>
      <c r="RN22" s="19"/>
      <c r="RO22" s="19"/>
      <c r="RP22" s="19"/>
      <c r="RQ22" s="19"/>
      <c r="RR22" s="19"/>
      <c r="RS22" s="19"/>
      <c r="RT22" s="19"/>
      <c r="RU22" s="19"/>
      <c r="RV22" s="19"/>
      <c r="RW22" s="19"/>
      <c r="RX22" s="19"/>
      <c r="RY22" s="19"/>
      <c r="RZ22" s="19"/>
      <c r="SA22" s="19"/>
      <c r="SB22" s="19"/>
      <c r="SC22" s="19"/>
      <c r="SD22" s="19"/>
      <c r="SE22" s="19"/>
      <c r="SF22" s="19"/>
      <c r="SG22" s="19"/>
      <c r="SH22" s="19"/>
      <c r="SI22" s="19"/>
      <c r="SJ22" s="19"/>
      <c r="SK22" s="19"/>
      <c r="SL22" s="19"/>
      <c r="SM22" s="19"/>
      <c r="SN22" s="19"/>
      <c r="SO22" s="19"/>
      <c r="SP22" s="19"/>
      <c r="SQ22" s="19"/>
      <c r="SR22" s="19"/>
      <c r="SS22" s="19"/>
      <c r="ST22" s="19"/>
      <c r="SU22" s="19"/>
      <c r="SV22" s="19"/>
      <c r="SW22" s="19"/>
      <c r="SX22" s="19"/>
      <c r="SY22" s="19"/>
      <c r="SZ22" s="19"/>
      <c r="TA22" s="19"/>
      <c r="TB22" s="19"/>
      <c r="TC22" s="19"/>
      <c r="TD22" s="19"/>
      <c r="TE22" s="19"/>
      <c r="TF22" s="19"/>
      <c r="TG22" s="19"/>
      <c r="TH22" s="19"/>
      <c r="TI22" s="19"/>
      <c r="TJ22" s="19"/>
      <c r="TK22" s="19"/>
      <c r="TL22" s="19"/>
      <c r="TM22" s="19"/>
      <c r="TN22" s="19"/>
      <c r="TO22" s="19"/>
      <c r="TP22" s="19"/>
      <c r="TQ22" s="19"/>
      <c r="TR22" s="19"/>
      <c r="TS22" s="19"/>
      <c r="TT22" s="19"/>
      <c r="TU22" s="19"/>
      <c r="TV22" s="19"/>
      <c r="TW22" s="19"/>
      <c r="TX22" s="19"/>
      <c r="TY22" s="19"/>
      <c r="TZ22" s="19"/>
      <c r="UA22" s="19"/>
      <c r="UB22" s="19"/>
      <c r="UC22" s="19"/>
      <c r="UD22" s="19"/>
      <c r="UE22" s="19"/>
      <c r="UF22" s="19"/>
      <c r="UG22" s="19"/>
      <c r="UH22" s="19"/>
      <c r="UI22" s="19"/>
      <c r="UJ22" s="19"/>
      <c r="UK22" s="19"/>
      <c r="UL22" s="19"/>
      <c r="UM22" s="19"/>
      <c r="UN22" s="19"/>
      <c r="UO22" s="19"/>
      <c r="UP22" s="19"/>
      <c r="UQ22" s="19"/>
      <c r="UR22" s="19"/>
      <c r="US22" s="19"/>
      <c r="UT22" s="19"/>
      <c r="UU22" s="19"/>
      <c r="UV22" s="19"/>
      <c r="UW22" s="19"/>
      <c r="UX22" s="19"/>
      <c r="UY22" s="19"/>
      <c r="UZ22" s="19"/>
      <c r="VA22" s="19"/>
      <c r="VB22" s="19"/>
      <c r="VC22" s="19"/>
      <c r="VD22" s="19"/>
      <c r="VE22" s="19"/>
      <c r="VF22" s="19"/>
      <c r="VG22" s="19"/>
      <c r="VH22" s="19"/>
      <c r="VI22" s="19"/>
      <c r="VJ22" s="19"/>
      <c r="VK22" s="19"/>
      <c r="VL22" s="19"/>
      <c r="VM22" s="19"/>
      <c r="VN22" s="19"/>
      <c r="VO22" s="19"/>
      <c r="VP22" s="19"/>
      <c r="VQ22" s="19"/>
      <c r="VR22" s="19"/>
      <c r="VS22" s="19"/>
      <c r="VT22" s="19"/>
      <c r="VU22" s="19"/>
      <c r="VV22" s="19"/>
      <c r="VW22" s="19"/>
      <c r="VX22" s="19"/>
      <c r="VY22" s="19"/>
      <c r="VZ22" s="19"/>
      <c r="WA22" s="19"/>
      <c r="WB22" s="19"/>
      <c r="WC22" s="19"/>
      <c r="WD22" s="19"/>
      <c r="WE22" s="19"/>
      <c r="WF22" s="19"/>
      <c r="WG22" s="19"/>
      <c r="WH22" s="19"/>
      <c r="WI22" s="19"/>
      <c r="WJ22" s="19"/>
      <c r="WK22" s="19"/>
      <c r="WL22" s="19"/>
      <c r="WM22" s="19"/>
      <c r="WN22" s="19"/>
      <c r="WO22" s="19"/>
      <c r="WP22" s="19"/>
      <c r="WQ22" s="19"/>
      <c r="WR22" s="19"/>
      <c r="WS22" s="19"/>
      <c r="WT22" s="19"/>
      <c r="WU22" s="19"/>
      <c r="WV22" s="19"/>
      <c r="WW22" s="19"/>
      <c r="WX22" s="19"/>
      <c r="WY22" s="19"/>
      <c r="WZ22" s="19"/>
      <c r="XA22" s="19"/>
      <c r="XB22" s="19"/>
      <c r="XC22" s="19"/>
      <c r="XD22" s="19"/>
      <c r="XE22" s="19"/>
      <c r="XF22" s="19"/>
      <c r="XG22" s="19"/>
      <c r="XH22" s="19"/>
      <c r="XI22" s="19"/>
      <c r="XJ22" s="19"/>
      <c r="XK22" s="19"/>
      <c r="XL22" s="19"/>
      <c r="XM22" s="19"/>
      <c r="XN22" s="19"/>
      <c r="XO22" s="19"/>
      <c r="XP22" s="19"/>
      <c r="XQ22" s="19"/>
      <c r="XR22" s="19"/>
      <c r="XS22" s="19"/>
      <c r="XT22" s="19"/>
      <c r="XU22" s="19"/>
      <c r="XV22" s="19"/>
      <c r="XW22" s="19"/>
      <c r="XX22" s="19"/>
      <c r="XY22" s="19"/>
      <c r="XZ22" s="19"/>
      <c r="YA22" s="19"/>
      <c r="YB22" s="19"/>
      <c r="YC22" s="19"/>
      <c r="YD22" s="19"/>
      <c r="YE22" s="19"/>
      <c r="YF22" s="19"/>
      <c r="YG22" s="19"/>
      <c r="YH22" s="19"/>
      <c r="YI22" s="19"/>
      <c r="YJ22" s="19"/>
      <c r="YK22" s="19"/>
      <c r="YL22" s="19"/>
      <c r="YM22" s="19"/>
      <c r="YN22" s="19"/>
      <c r="YO22" s="19"/>
      <c r="YP22" s="19"/>
      <c r="YQ22" s="19"/>
      <c r="YR22" s="19"/>
      <c r="YS22" s="19"/>
      <c r="YT22" s="19"/>
      <c r="YU22" s="19"/>
      <c r="YV22" s="19"/>
      <c r="YW22" s="19"/>
      <c r="YX22" s="19"/>
      <c r="YY22" s="19"/>
      <c r="YZ22" s="19"/>
      <c r="ZA22" s="19"/>
      <c r="ZB22" s="19"/>
      <c r="ZC22" s="19"/>
      <c r="ZD22" s="19"/>
      <c r="ZE22" s="19"/>
      <c r="ZF22" s="19"/>
      <c r="ZG22" s="19"/>
      <c r="ZH22" s="19"/>
      <c r="ZI22" s="19"/>
      <c r="ZJ22" s="19"/>
      <c r="ZK22" s="19"/>
      <c r="ZL22" s="19"/>
      <c r="ZM22" s="19"/>
      <c r="ZN22" s="19"/>
      <c r="ZO22" s="19"/>
      <c r="ZP22" s="19"/>
      <c r="ZQ22" s="19"/>
      <c r="ZR22" s="19"/>
      <c r="ZS22" s="19"/>
      <c r="ZT22" s="19"/>
      <c r="ZU22" s="19"/>
      <c r="ZV22" s="19"/>
      <c r="ZW22" s="19"/>
      <c r="ZX22" s="19"/>
      <c r="ZY22" s="19"/>
      <c r="ZZ22" s="19"/>
      <c r="AAA22" s="19"/>
      <c r="AAB22" s="19"/>
      <c r="AAC22" s="19"/>
      <c r="AAD22" s="19"/>
      <c r="AAE22" s="19"/>
      <c r="AAF22" s="19"/>
      <c r="AAG22" s="19"/>
      <c r="AAH22" s="19"/>
      <c r="AAI22" s="19"/>
      <c r="AAJ22" s="19"/>
      <c r="AAK22" s="19"/>
      <c r="AAL22" s="19"/>
      <c r="AAM22" s="19"/>
      <c r="AAN22" s="19"/>
      <c r="AAO22" s="19"/>
      <c r="AAP22" s="19"/>
      <c r="AAQ22" s="19"/>
      <c r="AAR22" s="19"/>
      <c r="AAS22" s="19"/>
      <c r="AAT22" s="19"/>
      <c r="AAU22" s="19"/>
      <c r="AAV22" s="19"/>
      <c r="AAW22" s="19"/>
      <c r="AAX22" s="19"/>
      <c r="AAY22" s="19"/>
      <c r="AAZ22" s="19"/>
      <c r="ABA22" s="19"/>
      <c r="ABB22" s="19"/>
      <c r="ABC22" s="19"/>
      <c r="ABD22" s="19"/>
      <c r="ABE22" s="19"/>
      <c r="ABF22" s="19"/>
      <c r="ABG22" s="19"/>
      <c r="ABH22" s="19"/>
      <c r="ABI22" s="19"/>
      <c r="ABJ22" s="19"/>
      <c r="ABK22" s="19"/>
      <c r="ABL22" s="19"/>
      <c r="ABM22" s="19"/>
      <c r="ABN22" s="19"/>
      <c r="ABO22" s="19"/>
      <c r="ABP22" s="19"/>
      <c r="ABQ22" s="19"/>
      <c r="ABR22" s="19"/>
      <c r="ABS22" s="19"/>
      <c r="ABT22" s="19"/>
      <c r="ABU22" s="19"/>
      <c r="ABV22" s="19"/>
      <c r="ABW22" s="19"/>
      <c r="ABX22" s="19"/>
      <c r="ABY22" s="19"/>
      <c r="ABZ22" s="19"/>
      <c r="ACA22" s="19"/>
      <c r="ACB22" s="19"/>
      <c r="ACC22" s="19"/>
      <c r="ACD22" s="19"/>
      <c r="ACE22" s="19"/>
      <c r="ACF22" s="19"/>
      <c r="ACG22" s="19"/>
      <c r="ACH22" s="19"/>
      <c r="ACI22" s="19"/>
      <c r="ACJ22" s="19"/>
      <c r="ACK22" s="19"/>
      <c r="ACL22" s="19"/>
      <c r="ACM22" s="19"/>
      <c r="ACN22" s="19"/>
      <c r="ACO22" s="19"/>
      <c r="ACP22" s="19"/>
      <c r="ACQ22" s="19"/>
      <c r="ACR22" s="19"/>
      <c r="ACS22" s="19"/>
      <c r="ACT22" s="19"/>
      <c r="ACU22" s="19"/>
      <c r="ACV22" s="19"/>
      <c r="ACW22" s="19"/>
      <c r="ACX22" s="19"/>
      <c r="ACY22" s="19"/>
      <c r="ACZ22" s="19"/>
      <c r="ADA22" s="19"/>
      <c r="ADB22" s="19"/>
      <c r="ADC22" s="19"/>
      <c r="ADD22" s="19"/>
      <c r="ADE22" s="19"/>
      <c r="ADF22" s="19"/>
      <c r="ADG22" s="19"/>
      <c r="ADH22" s="19"/>
      <c r="ADI22" s="19"/>
      <c r="ADJ22" s="19"/>
      <c r="ADK22" s="19"/>
      <c r="ADL22" s="19"/>
      <c r="ADM22" s="19"/>
      <c r="ADN22" s="19"/>
      <c r="ADO22" s="19"/>
      <c r="ADP22" s="19"/>
      <c r="ADQ22" s="19"/>
      <c r="ADR22" s="19"/>
      <c r="ADS22" s="19"/>
      <c r="ADT22" s="19"/>
      <c r="ADU22" s="19"/>
      <c r="ADV22" s="19"/>
      <c r="ADW22" s="19"/>
      <c r="ADX22" s="19"/>
      <c r="ADY22" s="19"/>
      <c r="ADZ22" s="19"/>
      <c r="AEA22" s="19"/>
      <c r="AEB22" s="19"/>
      <c r="AEC22" s="19"/>
      <c r="AED22" s="19"/>
      <c r="AEE22" s="19"/>
      <c r="AEF22" s="19"/>
      <c r="AEG22" s="19"/>
      <c r="AEH22" s="19"/>
      <c r="AEI22" s="19"/>
      <c r="AEJ22" s="19"/>
      <c r="AEK22" s="19"/>
      <c r="AEL22" s="19"/>
      <c r="AEM22" s="19"/>
      <c r="AEN22" s="19"/>
      <c r="AEO22" s="19"/>
      <c r="AEP22" s="19"/>
      <c r="AEQ22" s="19"/>
      <c r="AER22" s="19"/>
      <c r="AES22" s="19"/>
      <c r="AET22" s="19"/>
      <c r="AEU22" s="19"/>
      <c r="AEV22" s="19"/>
      <c r="AEW22" s="19"/>
      <c r="AEX22" s="19"/>
      <c r="AEY22" s="19"/>
      <c r="AEZ22" s="19"/>
      <c r="AFA22" s="19"/>
      <c r="AFB22" s="19"/>
      <c r="AFC22" s="19"/>
      <c r="AFD22" s="19"/>
      <c r="AFE22" s="19"/>
      <c r="AFF22" s="19"/>
      <c r="AFG22" s="19"/>
      <c r="AFH22" s="19"/>
      <c r="AFI22" s="19"/>
      <c r="AFJ22" s="19"/>
      <c r="AFK22" s="19"/>
      <c r="AFL22" s="19"/>
      <c r="AFM22" s="19"/>
      <c r="AFN22" s="19"/>
      <c r="AFO22" s="19"/>
      <c r="AFP22" s="19"/>
      <c r="AFQ22" s="19"/>
      <c r="AFR22" s="19"/>
      <c r="AFS22" s="19"/>
      <c r="AFT22" s="19"/>
      <c r="AFU22" s="19"/>
      <c r="AFV22" s="19"/>
      <c r="AFW22" s="19"/>
      <c r="AFX22" s="19"/>
      <c r="AFY22" s="19"/>
      <c r="AFZ22" s="19"/>
      <c r="AGA22" s="19"/>
      <c r="AGB22" s="19"/>
      <c r="AGC22" s="19"/>
      <c r="AGD22" s="19"/>
      <c r="AGE22" s="19"/>
      <c r="AGF22" s="19"/>
      <c r="AGG22" s="19"/>
      <c r="AGH22" s="19"/>
      <c r="AGI22" s="19"/>
      <c r="AGJ22" s="19"/>
      <c r="AGK22" s="19"/>
      <c r="AGL22" s="19"/>
      <c r="AGM22" s="19"/>
      <c r="AGN22" s="19"/>
      <c r="AGO22" s="19"/>
      <c r="AGP22" s="19"/>
      <c r="AGQ22" s="19"/>
      <c r="AGR22" s="19"/>
      <c r="AGS22" s="19"/>
      <c r="AGT22" s="19"/>
      <c r="AGU22" s="19"/>
      <c r="AGV22" s="19"/>
      <c r="AGW22" s="19"/>
      <c r="AGX22" s="19"/>
      <c r="AGY22" s="19"/>
      <c r="AGZ22" s="19"/>
      <c r="AHA22" s="19"/>
      <c r="AHB22" s="19"/>
      <c r="AHC22" s="19"/>
      <c r="AHD22" s="19"/>
      <c r="AHE22" s="19"/>
      <c r="AHF22" s="19"/>
      <c r="AHG22" s="19"/>
      <c r="AHH22" s="19"/>
      <c r="AHI22" s="19"/>
      <c r="AHJ22" s="19"/>
      <c r="AHK22" s="19"/>
      <c r="AHL22" s="19"/>
      <c r="AHM22" s="19"/>
      <c r="AHN22" s="19"/>
      <c r="AHO22" s="19"/>
      <c r="AHP22" s="19"/>
      <c r="AHQ22" s="19"/>
      <c r="AHR22" s="19"/>
      <c r="AHS22" s="19"/>
      <c r="AHT22" s="19"/>
      <c r="AHU22" s="19"/>
      <c r="AHV22" s="19"/>
      <c r="AHW22" s="19"/>
      <c r="AHX22" s="19"/>
      <c r="AHY22" s="19"/>
      <c r="AHZ22" s="19"/>
      <c r="AIA22" s="19"/>
      <c r="AIB22" s="19"/>
      <c r="AIC22" s="19"/>
      <c r="AID22" s="19"/>
      <c r="AIE22" s="19"/>
      <c r="AIF22" s="19"/>
      <c r="AIG22" s="19"/>
      <c r="AIH22" s="19"/>
      <c r="AII22" s="19"/>
      <c r="AIJ22" s="19"/>
      <c r="AIK22" s="19"/>
      <c r="AIL22" s="19"/>
      <c r="AIM22" s="19"/>
      <c r="AIN22" s="19"/>
      <c r="AIO22" s="19"/>
      <c r="AIP22" s="19"/>
      <c r="AIQ22" s="19"/>
      <c r="AIR22" s="19"/>
      <c r="AIS22" s="19"/>
      <c r="AIT22" s="19"/>
      <c r="AIU22" s="19"/>
      <c r="AIV22" s="19"/>
      <c r="AIW22" s="19"/>
      <c r="AIX22" s="19"/>
      <c r="AIY22" s="19"/>
      <c r="AIZ22" s="19"/>
      <c r="AJA22" s="19"/>
      <c r="AJB22" s="19"/>
      <c r="AJC22" s="19"/>
      <c r="AJD22" s="19"/>
      <c r="AJE22" s="19"/>
      <c r="AJF22" s="19"/>
      <c r="AJG22" s="19"/>
      <c r="AJH22" s="19"/>
      <c r="AJI22" s="19"/>
      <c r="AJJ22" s="19"/>
      <c r="AJK22" s="19"/>
      <c r="AJL22" s="19"/>
      <c r="AJM22" s="19"/>
      <c r="AJN22" s="19"/>
      <c r="AJO22" s="19"/>
      <c r="AJP22" s="19"/>
      <c r="AJQ22" s="19"/>
      <c r="AJR22" s="19"/>
      <c r="AJS22" s="19"/>
      <c r="AJT22" s="19"/>
      <c r="AJU22" s="19"/>
      <c r="AJV22" s="19"/>
      <c r="AJW22" s="19"/>
      <c r="AJX22" s="19"/>
      <c r="AJY22" s="19"/>
      <c r="AJZ22" s="19"/>
      <c r="AKA22" s="19"/>
      <c r="AKB22" s="19"/>
      <c r="AKC22" s="19"/>
      <c r="AKD22" s="19"/>
      <c r="AKE22" s="19"/>
      <c r="AKF22" s="19"/>
      <c r="AKG22" s="19"/>
      <c r="AKH22" s="19"/>
      <c r="AKI22" s="19"/>
      <c r="AKJ22" s="19"/>
      <c r="AKK22" s="19"/>
      <c r="AKL22" s="19"/>
      <c r="AKM22" s="19"/>
      <c r="AKN22" s="19"/>
      <c r="AKO22" s="19"/>
      <c r="AKP22" s="19"/>
      <c r="AKQ22" s="19"/>
      <c r="AKR22" s="19"/>
      <c r="AKS22" s="19"/>
      <c r="AKT22" s="19"/>
      <c r="AKU22" s="19"/>
      <c r="AKV22" s="19"/>
      <c r="AKW22" s="19"/>
      <c r="AKX22" s="19"/>
      <c r="AKY22" s="19"/>
      <c r="AKZ22" s="19"/>
      <c r="ALA22" s="19"/>
      <c r="ALB22" s="19"/>
      <c r="ALC22" s="19"/>
      <c r="ALD22" s="19"/>
      <c r="ALE22" s="19"/>
      <c r="ALF22" s="19"/>
      <c r="ALG22" s="19"/>
      <c r="ALH22" s="19"/>
      <c r="ALI22" s="19"/>
      <c r="ALJ22" s="19"/>
      <c r="ALK22" s="19"/>
      <c r="ALL22" s="19"/>
      <c r="ALM22" s="19"/>
      <c r="ALN22" s="19"/>
      <c r="ALO22" s="19"/>
      <c r="ALP22" s="19"/>
      <c r="ALQ22" s="19"/>
      <c r="ALR22" s="19"/>
      <c r="ALS22" s="19"/>
      <c r="ALT22" s="19"/>
      <c r="ALU22" s="19"/>
      <c r="ALV22" s="19"/>
      <c r="ALW22" s="19"/>
      <c r="ALX22" s="19"/>
      <c r="ALY22" s="19"/>
      <c r="ALZ22" s="21"/>
      <c r="AMA22" s="21"/>
      <c r="AMB22" s="21"/>
      <c r="AMC22" s="21"/>
      <c r="AMD22" s="21"/>
    </row>
    <row r="23" spans="1:1018" s="14" customFormat="1" ht="30" x14ac:dyDescent="0.25">
      <c r="A23" s="30">
        <v>7</v>
      </c>
      <c r="B23" s="75" t="s">
        <v>72</v>
      </c>
      <c r="C23" s="17"/>
      <c r="D23" s="74" t="s">
        <v>30</v>
      </c>
      <c r="E23" s="10" t="s">
        <v>29</v>
      </c>
      <c r="F23" s="32">
        <v>2</v>
      </c>
      <c r="G23" s="43">
        <v>875</v>
      </c>
      <c r="H23" s="40">
        <f t="shared" si="0"/>
        <v>2100</v>
      </c>
      <c r="I23" s="12"/>
      <c r="J23" s="69"/>
      <c r="K23" s="66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</row>
    <row r="24" spans="1:1018" s="14" customFormat="1" ht="30" x14ac:dyDescent="0.25">
      <c r="A24" s="30">
        <v>8</v>
      </c>
      <c r="B24" s="75" t="s">
        <v>73</v>
      </c>
      <c r="C24" s="17"/>
      <c r="D24" s="56" t="s">
        <v>30</v>
      </c>
      <c r="E24" s="10" t="s">
        <v>29</v>
      </c>
      <c r="F24" s="32">
        <v>2</v>
      </c>
      <c r="G24" s="43">
        <v>4410</v>
      </c>
      <c r="H24" s="40">
        <f t="shared" si="0"/>
        <v>10584</v>
      </c>
      <c r="I24" s="12"/>
      <c r="J24" s="69"/>
      <c r="K24" s="66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</row>
    <row r="25" spans="1:1018" s="14" customFormat="1" ht="45" x14ac:dyDescent="0.25">
      <c r="A25" s="30">
        <v>9</v>
      </c>
      <c r="B25" s="75" t="s">
        <v>74</v>
      </c>
      <c r="C25" s="17"/>
      <c r="D25" s="56" t="s">
        <v>30</v>
      </c>
      <c r="E25" s="10" t="s">
        <v>29</v>
      </c>
      <c r="F25" s="32">
        <v>2</v>
      </c>
      <c r="G25" s="43">
        <v>1900</v>
      </c>
      <c r="H25" s="40">
        <f t="shared" si="0"/>
        <v>4560</v>
      </c>
      <c r="I25" s="12"/>
      <c r="J25" s="69"/>
      <c r="K25" s="66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</row>
    <row r="26" spans="1:1018" s="14" customFormat="1" ht="90" x14ac:dyDescent="0.25">
      <c r="A26" s="30">
        <v>10</v>
      </c>
      <c r="B26" s="75" t="s">
        <v>62</v>
      </c>
      <c r="C26" s="17"/>
      <c r="D26" s="74" t="s">
        <v>30</v>
      </c>
      <c r="E26" s="10" t="s">
        <v>29</v>
      </c>
      <c r="F26" s="32">
        <v>2</v>
      </c>
      <c r="G26" s="43">
        <v>6032</v>
      </c>
      <c r="H26" s="40">
        <f t="shared" si="0"/>
        <v>14476.8</v>
      </c>
      <c r="I26" s="12"/>
      <c r="J26" s="66"/>
      <c r="K26" s="13"/>
      <c r="L26" s="13"/>
      <c r="M26" s="13"/>
      <c r="N26" s="13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</row>
    <row r="27" spans="1:1018" s="14" customFormat="1" ht="30" x14ac:dyDescent="0.25">
      <c r="A27" s="30">
        <v>11</v>
      </c>
      <c r="B27" s="75" t="s">
        <v>75</v>
      </c>
      <c r="C27" s="17"/>
      <c r="D27" s="56" t="s">
        <v>77</v>
      </c>
      <c r="E27" s="10" t="s">
        <v>29</v>
      </c>
      <c r="F27" s="32">
        <v>24</v>
      </c>
      <c r="G27" s="43">
        <v>50</v>
      </c>
      <c r="H27" s="40">
        <f t="shared" si="0"/>
        <v>1440</v>
      </c>
      <c r="I27" s="12"/>
      <c r="J27" s="66"/>
      <c r="K27" s="13"/>
      <c r="L27" s="13"/>
      <c r="M27" s="13"/>
      <c r="N27" s="13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</row>
    <row r="28" spans="1:1018" s="14" customFormat="1" ht="30" x14ac:dyDescent="0.25">
      <c r="A28" s="30">
        <v>12</v>
      </c>
      <c r="B28" s="75" t="s">
        <v>76</v>
      </c>
      <c r="C28" s="17"/>
      <c r="D28" s="56" t="s">
        <v>77</v>
      </c>
      <c r="E28" s="10" t="s">
        <v>29</v>
      </c>
      <c r="F28" s="32">
        <v>24</v>
      </c>
      <c r="G28" s="43">
        <v>50</v>
      </c>
      <c r="H28" s="40">
        <f t="shared" si="0"/>
        <v>1440</v>
      </c>
      <c r="I28" s="12"/>
      <c r="J28" s="66"/>
      <c r="K28" s="13"/>
      <c r="L28" s="13"/>
      <c r="M28" s="13"/>
      <c r="N28" s="13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</row>
    <row r="29" spans="1:1018" x14ac:dyDescent="0.25">
      <c r="A29" s="22"/>
      <c r="B29" s="77" t="s">
        <v>60</v>
      </c>
      <c r="C29" s="30"/>
      <c r="D29" s="30"/>
      <c r="E29" s="30"/>
      <c r="F29" s="76"/>
      <c r="G29" s="30"/>
      <c r="H29" s="40">
        <f>SUM(H17:H28)</f>
        <v>107671.20000000001</v>
      </c>
    </row>
  </sheetData>
  <mergeCells count="23">
    <mergeCell ref="A15:C15"/>
    <mergeCell ref="D15:H15"/>
    <mergeCell ref="A11:H11"/>
    <mergeCell ref="A12:C12"/>
    <mergeCell ref="D12:H12"/>
    <mergeCell ref="A13:C13"/>
    <mergeCell ref="D13:H13"/>
    <mergeCell ref="A14:C14"/>
    <mergeCell ref="D14:H14"/>
    <mergeCell ref="A10:C10"/>
    <mergeCell ref="D10:H10"/>
    <mergeCell ref="E1:H1"/>
    <mergeCell ref="E2:H2"/>
    <mergeCell ref="E3:H3"/>
    <mergeCell ref="A4:H4"/>
    <mergeCell ref="A5:H5"/>
    <mergeCell ref="A6:C6"/>
    <mergeCell ref="D6:H6"/>
    <mergeCell ref="A7:H7"/>
    <mergeCell ref="A8:C8"/>
    <mergeCell ref="D8:H8"/>
    <mergeCell ref="A9:C9"/>
    <mergeCell ref="D9:H9"/>
  </mergeCells>
  <hyperlinks>
    <hyperlink ref="D28" r:id="rId1"/>
    <hyperlink ref="D27" r:id="rId2"/>
    <hyperlink ref="D25" r:id="rId3"/>
    <hyperlink ref="D24" r:id="rId4"/>
    <hyperlink ref="D21" r:id="rId5"/>
    <hyperlink ref="D18:D22" r:id="rId6" display="Техноавиа"/>
    <hyperlink ref="D17" r:id="rId7"/>
    <hyperlink ref="D23:D26" r:id="rId8" display="Техноавиа"/>
  </hyperlinks>
  <pageMargins left="0.7" right="0.7" top="0.75" bottom="0.75" header="0.3" footer="0.3"/>
  <pageSetup paperSize="9" scale="85" fitToHeight="0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Лист1!Область_печати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Долгеров Андрей Владимирович</dc:creator>
  <dc:description/>
  <cp:lastModifiedBy>Хабаров Денис Борисович</cp:lastModifiedBy>
  <cp:revision>26</cp:revision>
  <cp:lastPrinted>2026-03-24T12:30:48Z</cp:lastPrinted>
  <dcterms:created xsi:type="dcterms:W3CDTF">2015-06-05T18:19:34Z</dcterms:created>
  <dcterms:modified xsi:type="dcterms:W3CDTF">2026-03-24T12:31:13Z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