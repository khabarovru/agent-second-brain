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barov.db\Downloads\"/>
    </mc:Choice>
  </mc:AlternateContent>
  <bookViews>
    <workbookView xWindow="0" yWindow="0" windowWidth="11400" windowHeight="5895"/>
  </bookViews>
  <sheets>
    <sheet name="Лист_1" sheetId="1" r:id="rId1"/>
  </sheets>
  <calcPr calcId="152511"/>
</workbook>
</file>

<file path=xl/calcChain.xml><?xml version="1.0" encoding="utf-8"?>
<calcChain xmlns="http://schemas.openxmlformats.org/spreadsheetml/2006/main">
  <c r="F14" i="1" l="1"/>
  <c r="F3" i="1"/>
  <c r="F4" i="1"/>
  <c r="F5" i="1"/>
  <c r="F6" i="1"/>
  <c r="F7" i="1"/>
  <c r="F8" i="1"/>
  <c r="F9" i="1"/>
  <c r="F10" i="1"/>
  <c r="F11" i="1"/>
  <c r="F12" i="1"/>
  <c r="F13" i="1"/>
  <c r="F2" i="1"/>
</calcChain>
</file>

<file path=xl/sharedStrings.xml><?xml version="1.0" encoding="utf-8"?>
<sst xmlns="http://schemas.openxmlformats.org/spreadsheetml/2006/main" count="31" uniqueCount="21">
  <si>
    <t>N</t>
  </si>
  <si>
    <t>Номенклатура</t>
  </si>
  <si>
    <t>Количество</t>
  </si>
  <si>
    <t>Ед.изм.</t>
  </si>
  <si>
    <t>Цена</t>
  </si>
  <si>
    <t>Сумма</t>
  </si>
  <si>
    <t>Брюки мужские летние «Скаймастер-2» 50\182</t>
  </si>
  <si>
    <t>шт.</t>
  </si>
  <si>
    <t>Каска защитная СОМЗ-88 ЯМАЛ RAPID белая 788717</t>
  </si>
  <si>
    <t>Крем регенерирующий М SOLO Active для рук 100мл</t>
  </si>
  <si>
    <t>Куртка мужская демисезонная "Экспо" 52\182</t>
  </si>
  <si>
    <t>Куртка мужская летняя «Скаймастер-2» 50\182</t>
  </si>
  <si>
    <t>Очки защитные открытые прозрачные UVEX Ай-5 9183265</t>
  </si>
  <si>
    <t>Паста очищающая М SOLO Cleanup для рук с натуральным абразивом 200мл</t>
  </si>
  <si>
    <t>Перчатки трикотажные с латексным покрытием ладони размер 9</t>
  </si>
  <si>
    <t>пар</t>
  </si>
  <si>
    <t>Плащ сигнальный влагозащитный "Экстра Вижен" (Extra Vision WPL) флуоресцентный оранжевый 3.220</t>
  </si>
  <si>
    <t>Полуботинки «НЕОТЕК» с защитными носками из стекловолокна и текстильными антипрокольными стельками</t>
  </si>
  <si>
    <t>Полуботинки c перфорацией "ФЛОУ" FLOW S1P SANDAL TLS в ассортименте</t>
  </si>
  <si>
    <t>Сорочка с воротником «Поло» темно-синяя (100/170/176)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</si>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</sst>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8"/>
      <name val="Arial"/>
    </font>
    <font>
      <sz val="14"/>
      <color rgb="FF4D4D4D"/>
      <name val="Times New Roman"/>
      <family val="1"/>
      <charset val="204"/>
    </font>
    <font>
      <sz val="14"/>
      <color rgb="FF333333"/>
      <name val="Times New Roman"/>
      <family val="1"/>
      <charset val="204"/>
    </font>
    <font>
      <b/>
      <sz val="14"/>
      <color rgb="FF4D4D4D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" fontId="2" fillId="3" borderId="1" xfId="0" applyNumberFormat="1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 wrapText="1"/>
    </xf>
    <xf numFmtId="4" fontId="2" fillId="3" borderId="1" xfId="0" applyNumberFormat="1" applyFont="1" applyFill="1" applyBorder="1" applyAlignment="1">
      <alignment horizontal="right" vertical="top" wrapText="1"/>
    </xf>
    <xf numFmtId="2" fontId="2" fillId="3" borderId="1" xfId="0" applyNumberFormat="1" applyFont="1" applyFill="1" applyBorder="1" applyAlignment="1">
      <alignment horizontal="right" vertical="top" wrapText="1"/>
    </xf>
    <xf numFmtId="164" fontId="1" fillId="2" borderId="1" xfId="0" applyNumberFormat="1" applyFont="1" applyFill="1" applyBorder="1" applyAlignment="1">
      <alignment horizontal="right" vertical="top" wrapText="1"/>
    </xf>
    <xf numFmtId="4" fontId="3" fillId="2" borderId="1" xfId="0" applyNumberFormat="1" applyFon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F14"/>
  <sheetViews>
    <sheetView tabSelected="1" workbookViewId="0">
      <selection sqref="A1:F14"/>
    </sheetView>
  </sheetViews>
  <sheetFormatPr defaultColWidth="10.5" defaultRowHeight="11.45" customHeight="1" x14ac:dyDescent="0.2"/>
  <cols>
    <col min="1" max="1" width="5.33203125" style="1" customWidth="1"/>
    <col min="2" max="2" width="42.1640625" style="1" customWidth="1"/>
    <col min="3" max="3" width="12.5" style="1" customWidth="1"/>
    <col min="4" max="4" width="8.33203125" style="1" customWidth="1"/>
    <col min="5" max="5" width="19.5" style="1" customWidth="1"/>
    <col min="6" max="6" width="20" style="1" customWidth="1"/>
  </cols>
  <sheetData>
    <row r="1" spans="1:6" ht="56.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7.5" x14ac:dyDescent="0.2">
      <c r="A2" s="3">
        <v>1</v>
      </c>
      <c r="B2" s="4" t="s">
        <v>6</v>
      </c>
      <c r="C2" s="5">
        <v>2</v>
      </c>
      <c r="D2" s="4" t="s">
        <v>7</v>
      </c>
      <c r="E2" s="6">
        <v>7208</v>
      </c>
      <c r="F2" s="6">
        <f>SUM(C2*E2)</f>
        <v>14416</v>
      </c>
    </row>
    <row r="3" spans="1:6" ht="37.5" x14ac:dyDescent="0.2">
      <c r="A3" s="3">
        <v>2</v>
      </c>
      <c r="B3" s="4" t="s">
        <v>8</v>
      </c>
      <c r="C3" s="5">
        <v>2</v>
      </c>
      <c r="D3" s="4" t="s">
        <v>7</v>
      </c>
      <c r="E3" s="6">
        <v>4410</v>
      </c>
      <c r="F3" s="6">
        <f t="shared" ref="F3:F13" si="0">SUM(C3*E3)</f>
        <v>8820</v>
      </c>
    </row>
    <row r="4" spans="1:6" ht="37.5" x14ac:dyDescent="0.2">
      <c r="A4" s="3">
        <v>3</v>
      </c>
      <c r="B4" s="4" t="s">
        <v>9</v>
      </c>
      <c r="C4" s="5">
        <v>24</v>
      </c>
      <c r="D4" s="4" t="s">
        <v>7</v>
      </c>
      <c r="E4" s="7">
        <v>80</v>
      </c>
      <c r="F4" s="6">
        <f t="shared" si="0"/>
        <v>1920</v>
      </c>
    </row>
    <row r="5" spans="1:6" ht="56.25" x14ac:dyDescent="0.2">
      <c r="A5" s="3">
        <v>4</v>
      </c>
      <c r="B5" s="4" t="s">
        <v>10</v>
      </c>
      <c r="C5" s="5">
        <v>2</v>
      </c>
      <c r="D5" s="4" t="s">
        <v>7</v>
      </c>
      <c r="E5" s="6">
        <v>8100</v>
      </c>
      <c r="F5" s="6">
        <f t="shared" si="0"/>
        <v>16200</v>
      </c>
    </row>
    <row r="6" spans="1:6" ht="37.5" x14ac:dyDescent="0.2">
      <c r="A6" s="3">
        <v>5</v>
      </c>
      <c r="B6" s="4" t="s">
        <v>11</v>
      </c>
      <c r="C6" s="5">
        <v>2</v>
      </c>
      <c r="D6" s="4" t="s">
        <v>7</v>
      </c>
      <c r="E6" s="6">
        <v>7202</v>
      </c>
      <c r="F6" s="6">
        <f t="shared" si="0"/>
        <v>14404</v>
      </c>
    </row>
    <row r="7" spans="1:6" ht="56.25" x14ac:dyDescent="0.2">
      <c r="A7" s="3">
        <v>6</v>
      </c>
      <c r="B7" s="4" t="s">
        <v>12</v>
      </c>
      <c r="C7" s="5">
        <v>2</v>
      </c>
      <c r="D7" s="4" t="s">
        <v>7</v>
      </c>
      <c r="E7" s="6">
        <v>2030</v>
      </c>
      <c r="F7" s="6">
        <f t="shared" si="0"/>
        <v>4060</v>
      </c>
    </row>
    <row r="8" spans="1:6" ht="75" x14ac:dyDescent="0.2">
      <c r="A8" s="3">
        <v>7</v>
      </c>
      <c r="B8" s="4" t="s">
        <v>13</v>
      </c>
      <c r="C8" s="5">
        <v>24</v>
      </c>
      <c r="D8" s="4" t="s">
        <v>7</v>
      </c>
      <c r="E8" s="7">
        <v>77</v>
      </c>
      <c r="F8" s="6">
        <f t="shared" si="0"/>
        <v>1848</v>
      </c>
    </row>
    <row r="9" spans="1:6" ht="56.25" x14ac:dyDescent="0.2">
      <c r="A9" s="3">
        <v>8</v>
      </c>
      <c r="B9" s="4" t="s">
        <v>14</v>
      </c>
      <c r="C9" s="5">
        <v>24</v>
      </c>
      <c r="D9" s="4" t="s">
        <v>15</v>
      </c>
      <c r="E9" s="7">
        <v>60</v>
      </c>
      <c r="F9" s="6">
        <f t="shared" si="0"/>
        <v>1440</v>
      </c>
    </row>
    <row r="10" spans="1:6" ht="93.75" x14ac:dyDescent="0.2">
      <c r="A10" s="3">
        <v>9</v>
      </c>
      <c r="B10" s="4" t="s">
        <v>16</v>
      </c>
      <c r="C10" s="5">
        <v>2</v>
      </c>
      <c r="D10" s="4" t="s">
        <v>7</v>
      </c>
      <c r="E10" s="6">
        <v>1980</v>
      </c>
      <c r="F10" s="6">
        <f t="shared" si="0"/>
        <v>3960</v>
      </c>
    </row>
    <row r="11" spans="1:6" ht="93.75" x14ac:dyDescent="0.2">
      <c r="A11" s="3">
        <v>10</v>
      </c>
      <c r="B11" s="4" t="s">
        <v>17</v>
      </c>
      <c r="C11" s="5">
        <v>2</v>
      </c>
      <c r="D11" s="4" t="s">
        <v>15</v>
      </c>
      <c r="E11" s="6">
        <v>5000</v>
      </c>
      <c r="F11" s="6">
        <f t="shared" si="0"/>
        <v>10000</v>
      </c>
    </row>
    <row r="12" spans="1:6" ht="75" x14ac:dyDescent="0.2">
      <c r="A12" s="3">
        <v>11</v>
      </c>
      <c r="B12" s="4" t="s">
        <v>18</v>
      </c>
      <c r="C12" s="5">
        <v>2</v>
      </c>
      <c r="D12" s="4" t="s">
        <v>15</v>
      </c>
      <c r="E12" s="6">
        <v>6334</v>
      </c>
      <c r="F12" s="6">
        <f t="shared" si="0"/>
        <v>12668</v>
      </c>
    </row>
    <row r="13" spans="1:6" ht="56.25" x14ac:dyDescent="0.2">
      <c r="A13" s="3">
        <v>12</v>
      </c>
      <c r="B13" s="4" t="s">
        <v>19</v>
      </c>
      <c r="C13" s="5">
        <v>4</v>
      </c>
      <c r="D13" s="4" t="s">
        <v>7</v>
      </c>
      <c r="E13" s="7">
        <v>893</v>
      </c>
      <c r="F13" s="6">
        <f t="shared" si="0"/>
        <v>3572</v>
      </c>
    </row>
    <row r="14" spans="1:6" ht="18.75" x14ac:dyDescent="0.2">
      <c r="A14" s="2"/>
      <c r="B14" s="2"/>
      <c r="C14" s="8"/>
      <c r="D14" s="2"/>
      <c r="E14" s="2" t="s">
        <v>20</v>
      </c>
      <c r="F14" s="9">
        <f>SUM(F2:F13)</f>
        <v>93308</v>
      </c>
    </row>
  </sheetData>
  <pageMargins left="0.39370078740157483" right="0.39370078740157483" top="0.39370078740157483" bottom="0.39370078740157483" header="0" footer="0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Хабаров Денис Борисович</cp:lastModifiedBy>
  <cp:lastPrinted>2026-03-30T04:51:42Z</cp:lastPrinted>
  <dcterms:modified xsi:type="dcterms:W3CDTF">2026-03-30T05:06:46Z</dcterms:modified>
</cp:coreProperties>
</file>