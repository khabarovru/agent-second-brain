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GTD\01 Project Management\Projects\Files\8. Работа. Образцы документов\"/>
    </mc:Choice>
  </mc:AlternateContent>
  <bookViews>
    <workbookView xWindow="0" yWindow="0" windowWidth="28800" windowHeight="12435" tabRatio="818" firstSheet="14" activeTab="26"/>
  </bookViews>
  <sheets>
    <sheet name="личный дневной (печатная форма)" sheetId="35" r:id="rId1"/>
    <sheet name="личный месяц (печатная форма)" sheetId="36" r:id="rId2"/>
    <sheet name="сотрудники" sheetId="38" r:id="rId3"/>
    <sheet name="Подразделения" sheetId="2" r:id="rId4"/>
    <sheet name="Должности" sheetId="3" r:id="rId5"/>
    <sheet name="Август" sheetId="45" r:id="rId6"/>
    <sheet name="месяц" sheetId="39" state="hidden" r:id="rId7"/>
    <sheet name="Август 2024" sheetId="53" r:id="rId8"/>
    <sheet name="Сентябрь" sheetId="47" r:id="rId9"/>
    <sheet name="Октябрь" sheetId="48" r:id="rId10"/>
    <sheet name="Ноябрь" sheetId="49" r:id="rId11"/>
    <sheet name="Январь " sheetId="50" r:id="rId12"/>
    <sheet name="Июнь" sheetId="51" r:id="rId13"/>
    <sheet name="Июль" sheetId="54" r:id="rId14"/>
    <sheet name="Сентябрь 2024" sheetId="55" r:id="rId15"/>
    <sheet name="Октябрь 2024" sheetId="56" r:id="rId16"/>
    <sheet name="Ноябрь 2024" sheetId="57" r:id="rId17"/>
    <sheet name="Декабрь 2024" sheetId="58" r:id="rId18"/>
    <sheet name="Февраль 2025" sheetId="59" r:id="rId19"/>
    <sheet name="Март 2025" sheetId="60" r:id="rId20"/>
    <sheet name="Апрель 2025" sheetId="61" r:id="rId21"/>
    <sheet name="Май 2025" sheetId="62" r:id="rId22"/>
    <sheet name="Июнь 2025" sheetId="63" r:id="rId23"/>
    <sheet name="Июль 2025" sheetId="64" r:id="rId24"/>
    <sheet name="Сентябрь 2025" sheetId="66" r:id="rId25"/>
    <sheet name="Октябрь 2025" sheetId="67" r:id="rId26"/>
    <sheet name="Ноябрь 2025" sheetId="68" r:id="rId27"/>
    <sheet name="Департамент" sheetId="4" state="hidden" r:id="rId28"/>
  </sheets>
  <definedNames>
    <definedName name="_xlnm._FilterDatabase" localSheetId="7" hidden="1">'Август 2024'!$A$4:$AQ$13</definedName>
    <definedName name="_xlnm._FilterDatabase" localSheetId="20" hidden="1">'Апрель 2025'!$A$4:$AR$11</definedName>
    <definedName name="_xlnm._FilterDatabase" localSheetId="17" hidden="1">'Декабрь 2024'!$A$4:$AQ$11</definedName>
    <definedName name="_xlnm._FilterDatabase" localSheetId="13" hidden="1">Июль!$A$4:$AQ$13</definedName>
    <definedName name="_xlnm._FilterDatabase" localSheetId="23" hidden="1">'Июль 2025'!$A$4:$AR$11</definedName>
    <definedName name="_xlnm._FilterDatabase" localSheetId="12" hidden="1">Июнь!$A$4:$AQ$13</definedName>
    <definedName name="_xlnm._FilterDatabase" localSheetId="22" hidden="1">'Июнь 2025'!$A$4:$AR$11</definedName>
    <definedName name="_xlnm._FilterDatabase" localSheetId="21" hidden="1">'Май 2025'!$A$4:$AR$11</definedName>
    <definedName name="_xlnm._FilterDatabase" localSheetId="19" hidden="1">'Март 2025'!$A$4:$AR$11</definedName>
    <definedName name="_xlnm._FilterDatabase" localSheetId="10" hidden="1">Ноябрь!$A$4:$AO$58</definedName>
    <definedName name="_xlnm._FilterDatabase" localSheetId="16" hidden="1">'Ноябрь 2024'!$A$4:$AQ$13</definedName>
    <definedName name="_xlnm._FilterDatabase" localSheetId="26" hidden="1">'Ноябрь 2025'!$A$4:$AR$11</definedName>
    <definedName name="_xlnm._FilterDatabase" localSheetId="9" hidden="1">Октябрь!$A$4:$AN$32</definedName>
    <definedName name="_xlnm._FilterDatabase" localSheetId="15" hidden="1">'Октябрь 2024'!$A$4:$AQ$13</definedName>
    <definedName name="_xlnm._FilterDatabase" localSheetId="25" hidden="1">'Октябрь 2025'!$A$4:$AR$11</definedName>
    <definedName name="_xlnm._FilterDatabase" localSheetId="8" hidden="1">Сентябрь!$A$4:$AN$32</definedName>
    <definedName name="_xlnm._FilterDatabase" localSheetId="14" hidden="1">'Сентябрь 2024'!$A$4:$AQ$13</definedName>
    <definedName name="_xlnm._FilterDatabase" localSheetId="24" hidden="1">'Сентябрь 2025'!$A$4:$AR$11</definedName>
    <definedName name="_xlnm._FilterDatabase" localSheetId="2" hidden="1">сотрудники!$A$2:$E$217</definedName>
    <definedName name="_xlnm._FilterDatabase" localSheetId="18" hidden="1">'Февраль 2025'!$A$4:$AR$11</definedName>
    <definedName name="_xlnm._FilterDatabase" localSheetId="11" hidden="1">'Январь '!$A$4:$AO$56</definedName>
    <definedName name="_xlnm.Print_Area" localSheetId="0">'личный дневной (печатная форма)'!$A$1:$C$43</definedName>
    <definedName name="_xlnm.Print_Area" localSheetId="1">'личный месяц (печатная форма)'!$A$1:$AH$44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3" i="68" l="1"/>
  <c r="AT13" i="68"/>
  <c r="AS13" i="68"/>
  <c r="AR13" i="68"/>
  <c r="AQ13" i="68"/>
  <c r="AP13" i="68"/>
  <c r="AO13" i="68"/>
  <c r="AN13" i="68"/>
  <c r="AM13" i="68"/>
  <c r="AL13" i="68"/>
  <c r="AK13" i="68"/>
  <c r="AJ13" i="68"/>
  <c r="AI13" i="68"/>
  <c r="AH13" i="68"/>
  <c r="AG13" i="68"/>
  <c r="AF13" i="68"/>
  <c r="AE13" i="68"/>
  <c r="AD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F13" i="68"/>
  <c r="F12" i="68"/>
  <c r="AU11" i="68"/>
  <c r="AT11" i="68"/>
  <c r="AS11" i="68"/>
  <c r="AR11" i="68"/>
  <c r="AQ11" i="68"/>
  <c r="AP11" i="68"/>
  <c r="AO11" i="68"/>
  <c r="AN11" i="68"/>
  <c r="AM11" i="68"/>
  <c r="AL11" i="68"/>
  <c r="AK11" i="68"/>
  <c r="AJ11" i="68"/>
  <c r="AI11" i="68"/>
  <c r="AH11" i="68"/>
  <c r="AG11" i="68"/>
  <c r="AF11" i="68"/>
  <c r="AE11" i="68"/>
  <c r="AD11" i="68"/>
  <c r="AC11" i="68"/>
  <c r="AB11" i="68"/>
  <c r="AA11" i="68"/>
  <c r="Z11" i="68"/>
  <c r="Y11" i="68"/>
  <c r="X11" i="68"/>
  <c r="W11" i="68"/>
  <c r="V11" i="68"/>
  <c r="U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F10" i="68"/>
  <c r="C10" i="68"/>
  <c r="D10" i="68" s="1"/>
  <c r="AU9" i="68"/>
  <c r="AT9" i="68"/>
  <c r="AS9" i="68"/>
  <c r="AR9" i="68"/>
  <c r="AQ9" i="68"/>
  <c r="AP9" i="68"/>
  <c r="AO9" i="68"/>
  <c r="AN9" i="68"/>
  <c r="AM9" i="68"/>
  <c r="AL9" i="68"/>
  <c r="AK9" i="68"/>
  <c r="AJ9" i="68"/>
  <c r="AI9" i="68"/>
  <c r="AH9" i="68"/>
  <c r="AG9" i="68"/>
  <c r="AF9" i="68"/>
  <c r="AE9" i="68"/>
  <c r="AD9" i="68"/>
  <c r="AC9" i="68"/>
  <c r="AB9" i="68"/>
  <c r="AA9" i="68"/>
  <c r="Z9" i="68"/>
  <c r="Y9" i="68"/>
  <c r="X9" i="68"/>
  <c r="W9" i="68"/>
  <c r="V9" i="68"/>
  <c r="U9" i="68"/>
  <c r="S9" i="68"/>
  <c r="R9" i="68"/>
  <c r="Q9" i="68"/>
  <c r="P9" i="68"/>
  <c r="O9" i="68"/>
  <c r="N9" i="68"/>
  <c r="M9" i="68"/>
  <c r="L9" i="68"/>
  <c r="K9" i="68"/>
  <c r="J9" i="68"/>
  <c r="I9" i="68"/>
  <c r="H9" i="68"/>
  <c r="F8" i="68"/>
  <c r="C8" i="68"/>
  <c r="D8" i="68" s="1"/>
  <c r="AU7" i="68"/>
  <c r="AT7" i="68"/>
  <c r="AS7" i="68"/>
  <c r="AR7" i="68"/>
  <c r="AQ7" i="68"/>
  <c r="AP7" i="68"/>
  <c r="AO7" i="68"/>
  <c r="AN7" i="68"/>
  <c r="AM7" i="68"/>
  <c r="AL7" i="68"/>
  <c r="AK7" i="68"/>
  <c r="AJ7" i="68"/>
  <c r="AI7" i="68"/>
  <c r="AH7" i="68"/>
  <c r="AG7" i="68"/>
  <c r="AF7" i="68"/>
  <c r="AE7" i="68"/>
  <c r="AD7" i="68"/>
  <c r="AC7" i="68"/>
  <c r="AB7" i="68"/>
  <c r="AA7" i="68"/>
  <c r="Z7" i="68"/>
  <c r="Y7" i="68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H7" i="68"/>
  <c r="F6" i="68"/>
  <c r="C6" i="68"/>
  <c r="D6" i="68" s="1"/>
  <c r="E6" i="68" s="1"/>
  <c r="F11" i="68" l="1"/>
  <c r="F9" i="68"/>
  <c r="F7" i="68"/>
  <c r="AU13" i="67"/>
  <c r="AT13" i="67"/>
  <c r="AS13" i="67"/>
  <c r="AR13" i="67"/>
  <c r="AQ13" i="67"/>
  <c r="AP13" i="67"/>
  <c r="AO13" i="67"/>
  <c r="AN13" i="67"/>
  <c r="AM13" i="67"/>
  <c r="AL13" i="67"/>
  <c r="AK13" i="67"/>
  <c r="AJ13" i="67"/>
  <c r="AI13" i="67"/>
  <c r="AH13" i="67"/>
  <c r="AG13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F13" i="67"/>
  <c r="F12" i="67"/>
  <c r="AU11" i="67"/>
  <c r="AT11" i="67"/>
  <c r="AS11" i="67"/>
  <c r="AR11" i="67"/>
  <c r="AQ11" i="67"/>
  <c r="AP11" i="67"/>
  <c r="AO11" i="67"/>
  <c r="AN11" i="67"/>
  <c r="AM11" i="67"/>
  <c r="AL11" i="67"/>
  <c r="AK11" i="67"/>
  <c r="AJ11" i="67"/>
  <c r="AI11" i="67"/>
  <c r="AH11" i="67"/>
  <c r="AG11" i="67"/>
  <c r="AF11" i="67"/>
  <c r="AE11" i="67"/>
  <c r="AD11" i="67"/>
  <c r="AC11" i="67"/>
  <c r="AB11" i="67"/>
  <c r="AA11" i="67"/>
  <c r="Z11" i="67"/>
  <c r="Y11" i="67"/>
  <c r="X11" i="67"/>
  <c r="W11" i="67"/>
  <c r="V11" i="67"/>
  <c r="U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F10" i="67"/>
  <c r="C10" i="67"/>
  <c r="D10" i="67" s="1"/>
  <c r="AU9" i="67"/>
  <c r="AT9" i="67"/>
  <c r="AS9" i="67"/>
  <c r="AR9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AE9" i="67"/>
  <c r="AD9" i="67"/>
  <c r="AC9" i="67"/>
  <c r="AB9" i="67"/>
  <c r="AA9" i="67"/>
  <c r="Z9" i="67"/>
  <c r="Y9" i="67"/>
  <c r="X9" i="67"/>
  <c r="W9" i="67"/>
  <c r="V9" i="67"/>
  <c r="U9" i="67"/>
  <c r="S9" i="67"/>
  <c r="R9" i="67"/>
  <c r="Q9" i="67"/>
  <c r="P9" i="67"/>
  <c r="O9" i="67"/>
  <c r="N9" i="67"/>
  <c r="M9" i="67"/>
  <c r="L9" i="67"/>
  <c r="K9" i="67"/>
  <c r="J9" i="67"/>
  <c r="I9" i="67"/>
  <c r="H9" i="67"/>
  <c r="F8" i="67"/>
  <c r="C8" i="67"/>
  <c r="D8" i="67" s="1"/>
  <c r="AU7" i="67"/>
  <c r="AT7" i="67"/>
  <c r="AS7" i="67"/>
  <c r="AR7" i="67"/>
  <c r="AQ7" i="67"/>
  <c r="AP7" i="67"/>
  <c r="AO7" i="67"/>
  <c r="AN7" i="67"/>
  <c r="AM7" i="67"/>
  <c r="AL7" i="67"/>
  <c r="AK7" i="67"/>
  <c r="AJ7" i="67"/>
  <c r="AI7" i="67"/>
  <c r="AH7" i="67"/>
  <c r="AG7" i="67"/>
  <c r="AF7" i="67"/>
  <c r="AE7" i="67"/>
  <c r="AD7" i="67"/>
  <c r="AC7" i="67"/>
  <c r="AB7" i="67"/>
  <c r="AA7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H7" i="67"/>
  <c r="F6" i="67"/>
  <c r="C6" i="67"/>
  <c r="D6" i="67" s="1"/>
  <c r="E6" i="67" s="1"/>
  <c r="F9" i="67" l="1"/>
  <c r="F11" i="67"/>
  <c r="F7" i="67"/>
  <c r="AU13" i="66"/>
  <c r="AT13" i="66"/>
  <c r="AS13" i="66"/>
  <c r="AR13" i="66"/>
  <c r="AQ13" i="66"/>
  <c r="AP13" i="66"/>
  <c r="AO13" i="66"/>
  <c r="AN13" i="66"/>
  <c r="AM13" i="66"/>
  <c r="AL13" i="66"/>
  <c r="AK13" i="66"/>
  <c r="AJ13" i="66"/>
  <c r="AI13" i="66"/>
  <c r="AH13" i="66"/>
  <c r="AG13" i="66"/>
  <c r="AF13" i="66"/>
  <c r="AE13" i="66"/>
  <c r="AD13" i="66"/>
  <c r="AC13" i="66"/>
  <c r="AB13" i="66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F12" i="66"/>
  <c r="AU11" i="66"/>
  <c r="AT11" i="66"/>
  <c r="AS11" i="66"/>
  <c r="AR11" i="66"/>
  <c r="AQ11" i="66"/>
  <c r="AP11" i="66"/>
  <c r="AO11" i="66"/>
  <c r="AN11" i="66"/>
  <c r="AM11" i="66"/>
  <c r="AL11" i="66"/>
  <c r="AK11" i="66"/>
  <c r="AJ11" i="66"/>
  <c r="AI11" i="66"/>
  <c r="AH11" i="66"/>
  <c r="AG11" i="66"/>
  <c r="AF11" i="66"/>
  <c r="AE11" i="66"/>
  <c r="AD11" i="66"/>
  <c r="AC11" i="66"/>
  <c r="AB11" i="66"/>
  <c r="AA11" i="66"/>
  <c r="Z11" i="66"/>
  <c r="Y11" i="66"/>
  <c r="X11" i="66"/>
  <c r="W11" i="66"/>
  <c r="V11" i="66"/>
  <c r="U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F10" i="66"/>
  <c r="C10" i="66"/>
  <c r="D10" i="66" s="1"/>
  <c r="AU9" i="66"/>
  <c r="AT9" i="66"/>
  <c r="AS9" i="66"/>
  <c r="AR9" i="66"/>
  <c r="AQ9" i="66"/>
  <c r="AP9" i="66"/>
  <c r="AO9" i="66"/>
  <c r="AN9" i="66"/>
  <c r="AM9" i="66"/>
  <c r="AL9" i="66"/>
  <c r="AK9" i="66"/>
  <c r="AJ9" i="66"/>
  <c r="AI9" i="66"/>
  <c r="AH9" i="66"/>
  <c r="AG9" i="66"/>
  <c r="AF9" i="66"/>
  <c r="AE9" i="66"/>
  <c r="AD9" i="66"/>
  <c r="AC9" i="66"/>
  <c r="AB9" i="66"/>
  <c r="AA9" i="66"/>
  <c r="Z9" i="66"/>
  <c r="Y9" i="66"/>
  <c r="X9" i="66"/>
  <c r="W9" i="66"/>
  <c r="V9" i="66"/>
  <c r="U9" i="66"/>
  <c r="S9" i="66"/>
  <c r="R9" i="66"/>
  <c r="Q9" i="66"/>
  <c r="P9" i="66"/>
  <c r="O9" i="66"/>
  <c r="N9" i="66"/>
  <c r="M9" i="66"/>
  <c r="L9" i="66"/>
  <c r="K9" i="66"/>
  <c r="J9" i="66"/>
  <c r="I9" i="66"/>
  <c r="H9" i="66"/>
  <c r="F8" i="66"/>
  <c r="C8" i="66"/>
  <c r="D8" i="66" s="1"/>
  <c r="AU7" i="66"/>
  <c r="AT7" i="66"/>
  <c r="AS7" i="66"/>
  <c r="AR7" i="66"/>
  <c r="AQ7" i="66"/>
  <c r="AP7" i="66"/>
  <c r="AO7" i="66"/>
  <c r="AN7" i="66"/>
  <c r="AM7" i="66"/>
  <c r="AL7" i="66"/>
  <c r="AK7" i="66"/>
  <c r="AJ7" i="66"/>
  <c r="AI7" i="66"/>
  <c r="AH7" i="66"/>
  <c r="AG7" i="66"/>
  <c r="AF7" i="66"/>
  <c r="AE7" i="66"/>
  <c r="AD7" i="66"/>
  <c r="AC7" i="66"/>
  <c r="AB7" i="66"/>
  <c r="AA7" i="66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F6" i="66"/>
  <c r="C6" i="66"/>
  <c r="D6" i="66" s="1"/>
  <c r="E6" i="66" s="1"/>
  <c r="F13" i="66" l="1"/>
  <c r="F11" i="66"/>
  <c r="F9" i="66"/>
  <c r="F7" i="66"/>
  <c r="AU13" i="64"/>
  <c r="AT13" i="64"/>
  <c r="AS13" i="64"/>
  <c r="AR13" i="64"/>
  <c r="AQ13" i="64"/>
  <c r="AP13" i="64"/>
  <c r="AO13" i="64"/>
  <c r="AN13" i="64"/>
  <c r="AM13" i="64"/>
  <c r="AL13" i="64"/>
  <c r="AK13" i="64"/>
  <c r="AJ13" i="64"/>
  <c r="AI13" i="64"/>
  <c r="AH13" i="64"/>
  <c r="AG13" i="64"/>
  <c r="AF13" i="64"/>
  <c r="AE13" i="64"/>
  <c r="AD13" i="64"/>
  <c r="AC13" i="64"/>
  <c r="AB13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F13" i="64" s="1"/>
  <c r="F12" i="64"/>
  <c r="AU11" i="64"/>
  <c r="AT11" i="64"/>
  <c r="AS11" i="64"/>
  <c r="AR11" i="64"/>
  <c r="AQ11" i="64"/>
  <c r="AP11" i="64"/>
  <c r="AO11" i="64"/>
  <c r="AN11" i="64"/>
  <c r="AM11" i="64"/>
  <c r="AL11" i="64"/>
  <c r="AK11" i="64"/>
  <c r="AJ11" i="64"/>
  <c r="AI11" i="64"/>
  <c r="AH11" i="64"/>
  <c r="AG11" i="64"/>
  <c r="AF11" i="64"/>
  <c r="AE11" i="64"/>
  <c r="AD11" i="64"/>
  <c r="AC11" i="64"/>
  <c r="AB11" i="64"/>
  <c r="AA11" i="64"/>
  <c r="Z11" i="64"/>
  <c r="Y11" i="64"/>
  <c r="X11" i="64"/>
  <c r="W11" i="64"/>
  <c r="V11" i="64"/>
  <c r="U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F10" i="64"/>
  <c r="C10" i="64"/>
  <c r="D10" i="64" s="1"/>
  <c r="AU9" i="64"/>
  <c r="AT9" i="64"/>
  <c r="AS9" i="64"/>
  <c r="AR9" i="64"/>
  <c r="AQ9" i="64"/>
  <c r="AP9" i="64"/>
  <c r="AO9" i="64"/>
  <c r="AN9" i="64"/>
  <c r="AM9" i="64"/>
  <c r="AL9" i="64"/>
  <c r="AK9" i="64"/>
  <c r="AJ9" i="64"/>
  <c r="AI9" i="64"/>
  <c r="AH9" i="64"/>
  <c r="AG9" i="64"/>
  <c r="AF9" i="64"/>
  <c r="AE9" i="64"/>
  <c r="AD9" i="64"/>
  <c r="AC9" i="64"/>
  <c r="AB9" i="64"/>
  <c r="AA9" i="64"/>
  <c r="Z9" i="64"/>
  <c r="Y9" i="64"/>
  <c r="X9" i="64"/>
  <c r="W9" i="64"/>
  <c r="V9" i="64"/>
  <c r="U9" i="64"/>
  <c r="S9" i="64"/>
  <c r="R9" i="64"/>
  <c r="Q9" i="64"/>
  <c r="P9" i="64"/>
  <c r="O9" i="64"/>
  <c r="N9" i="64"/>
  <c r="M9" i="64"/>
  <c r="L9" i="64"/>
  <c r="K9" i="64"/>
  <c r="J9" i="64"/>
  <c r="I9" i="64"/>
  <c r="H9" i="64"/>
  <c r="F8" i="64"/>
  <c r="C8" i="64"/>
  <c r="D8" i="64" s="1"/>
  <c r="AU7" i="64"/>
  <c r="AT7" i="64"/>
  <c r="AS7" i="64"/>
  <c r="AR7" i="64"/>
  <c r="AQ7" i="64"/>
  <c r="AP7" i="64"/>
  <c r="AO7" i="64"/>
  <c r="AN7" i="64"/>
  <c r="AM7" i="64"/>
  <c r="AL7" i="64"/>
  <c r="AK7" i="64"/>
  <c r="AJ7" i="64"/>
  <c r="AI7" i="64"/>
  <c r="AH7" i="64"/>
  <c r="AG7" i="64"/>
  <c r="AF7" i="64"/>
  <c r="AE7" i="64"/>
  <c r="AD7" i="64"/>
  <c r="AC7" i="64"/>
  <c r="AB7" i="64"/>
  <c r="AA7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F6" i="64"/>
  <c r="C6" i="64"/>
  <c r="D6" i="64" s="1"/>
  <c r="E6" i="64" s="1"/>
  <c r="F11" i="64" l="1"/>
  <c r="F9" i="64"/>
  <c r="F7" i="64"/>
  <c r="AU13" i="63"/>
  <c r="AT13" i="63"/>
  <c r="AS13" i="63"/>
  <c r="AR13" i="63"/>
  <c r="AQ13" i="63"/>
  <c r="AP13" i="63"/>
  <c r="AO13" i="63"/>
  <c r="AN13" i="63"/>
  <c r="AM13" i="63"/>
  <c r="AL13" i="63"/>
  <c r="AK13" i="63"/>
  <c r="AJ13" i="63"/>
  <c r="AI13" i="63"/>
  <c r="AH13" i="63"/>
  <c r="AG13" i="63"/>
  <c r="AF13" i="63"/>
  <c r="AE13" i="63"/>
  <c r="AD13" i="63"/>
  <c r="AC13" i="63"/>
  <c r="AB13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F13" i="63" s="1"/>
  <c r="H13" i="63"/>
  <c r="F12" i="63"/>
  <c r="AU11" i="63"/>
  <c r="AT11" i="63"/>
  <c r="AS11" i="63"/>
  <c r="AR11" i="63"/>
  <c r="AQ11" i="63"/>
  <c r="AP11" i="63"/>
  <c r="AO11" i="63"/>
  <c r="AN11" i="63"/>
  <c r="AM11" i="63"/>
  <c r="AL11" i="63"/>
  <c r="AK11" i="63"/>
  <c r="AJ11" i="63"/>
  <c r="AI11" i="63"/>
  <c r="AH11" i="63"/>
  <c r="AG11" i="63"/>
  <c r="AF11" i="63"/>
  <c r="AE11" i="63"/>
  <c r="AD11" i="63"/>
  <c r="AC11" i="63"/>
  <c r="AB11" i="63"/>
  <c r="AA11" i="63"/>
  <c r="Z11" i="63"/>
  <c r="Y11" i="63"/>
  <c r="X11" i="63"/>
  <c r="W11" i="63"/>
  <c r="V11" i="63"/>
  <c r="U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F11" i="63" s="1"/>
  <c r="F10" i="63"/>
  <c r="C10" i="63"/>
  <c r="D10" i="63" s="1"/>
  <c r="AU9" i="63"/>
  <c r="AT9" i="63"/>
  <c r="AS9" i="63"/>
  <c r="AR9" i="63"/>
  <c r="AQ9" i="63"/>
  <c r="AP9" i="63"/>
  <c r="AO9" i="63"/>
  <c r="AN9" i="63"/>
  <c r="AM9" i="63"/>
  <c r="AL9" i="63"/>
  <c r="AK9" i="63"/>
  <c r="AJ9" i="63"/>
  <c r="AI9" i="63"/>
  <c r="AH9" i="63"/>
  <c r="AG9" i="63"/>
  <c r="AF9" i="63"/>
  <c r="AE9" i="63"/>
  <c r="AD9" i="63"/>
  <c r="AC9" i="63"/>
  <c r="AB9" i="63"/>
  <c r="AA9" i="63"/>
  <c r="Z9" i="63"/>
  <c r="Y9" i="63"/>
  <c r="X9" i="63"/>
  <c r="W9" i="63"/>
  <c r="V9" i="63"/>
  <c r="U9" i="63"/>
  <c r="S9" i="63"/>
  <c r="R9" i="63"/>
  <c r="Q9" i="63"/>
  <c r="P9" i="63"/>
  <c r="O9" i="63"/>
  <c r="N9" i="63"/>
  <c r="M9" i="63"/>
  <c r="L9" i="63"/>
  <c r="K9" i="63"/>
  <c r="J9" i="63"/>
  <c r="I9" i="63"/>
  <c r="F9" i="63" s="1"/>
  <c r="H9" i="63"/>
  <c r="F8" i="63"/>
  <c r="C8" i="63"/>
  <c r="D8" i="63" s="1"/>
  <c r="AU7" i="63"/>
  <c r="AT7" i="63"/>
  <c r="AS7" i="63"/>
  <c r="AR7" i="63"/>
  <c r="AQ7" i="63"/>
  <c r="AP7" i="63"/>
  <c r="AO7" i="63"/>
  <c r="AN7" i="63"/>
  <c r="AM7" i="63"/>
  <c r="AL7" i="63"/>
  <c r="AK7" i="63"/>
  <c r="AJ7" i="63"/>
  <c r="AI7" i="63"/>
  <c r="AH7" i="63"/>
  <c r="AG7" i="63"/>
  <c r="AF7" i="63"/>
  <c r="AE7" i="63"/>
  <c r="AD7" i="63"/>
  <c r="AC7" i="63"/>
  <c r="AB7" i="63"/>
  <c r="AA7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F7" i="63" s="1"/>
  <c r="H7" i="63"/>
  <c r="F6" i="63"/>
  <c r="C6" i="63"/>
  <c r="D6" i="63" s="1"/>
  <c r="E6" i="63" s="1"/>
  <c r="K13" i="62" l="1"/>
  <c r="L13" i="62"/>
  <c r="M13" i="62"/>
  <c r="N13" i="62"/>
  <c r="O13" i="62"/>
  <c r="P13" i="62"/>
  <c r="Q13" i="62"/>
  <c r="R13" i="62"/>
  <c r="S13" i="62"/>
  <c r="T13" i="62"/>
  <c r="U13" i="62"/>
  <c r="V13" i="62"/>
  <c r="W13" i="62"/>
  <c r="X13" i="62"/>
  <c r="Y13" i="62"/>
  <c r="Z13" i="62"/>
  <c r="AA13" i="62"/>
  <c r="AB13" i="62"/>
  <c r="AC13" i="62"/>
  <c r="AD13" i="62"/>
  <c r="AE13" i="62"/>
  <c r="AF13" i="62"/>
  <c r="AG13" i="62"/>
  <c r="AH13" i="62"/>
  <c r="AI13" i="62"/>
  <c r="AJ13" i="62"/>
  <c r="AK13" i="62"/>
  <c r="AL13" i="62"/>
  <c r="AM13" i="62"/>
  <c r="AN13" i="62"/>
  <c r="AO13" i="62"/>
  <c r="AP13" i="62"/>
  <c r="AQ13" i="62"/>
  <c r="AR13" i="62"/>
  <c r="AS13" i="62"/>
  <c r="AT13" i="62"/>
  <c r="AU13" i="62"/>
  <c r="J13" i="62"/>
  <c r="I13" i="62"/>
  <c r="H13" i="62"/>
  <c r="C12" i="38" l="1"/>
  <c r="F12" i="62" l="1"/>
  <c r="AU11" i="62"/>
  <c r="AT11" i="62"/>
  <c r="AS11" i="62"/>
  <c r="AR11" i="62"/>
  <c r="AQ11" i="62"/>
  <c r="AP11" i="62"/>
  <c r="AO11" i="62"/>
  <c r="AN11" i="62"/>
  <c r="AM11" i="62"/>
  <c r="AL11" i="62"/>
  <c r="AK11" i="62"/>
  <c r="AJ11" i="62"/>
  <c r="AI11" i="62"/>
  <c r="AH11" i="62"/>
  <c r="AG11" i="62"/>
  <c r="AF11" i="62"/>
  <c r="AE11" i="62"/>
  <c r="AD11" i="62"/>
  <c r="AC11" i="62"/>
  <c r="AB11" i="62"/>
  <c r="AA11" i="62"/>
  <c r="Z11" i="62"/>
  <c r="Y11" i="62"/>
  <c r="X11" i="62"/>
  <c r="W11" i="62"/>
  <c r="V11" i="62"/>
  <c r="U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F10" i="62"/>
  <c r="C10" i="62"/>
  <c r="D10" i="62" s="1"/>
  <c r="AU9" i="62"/>
  <c r="AT9" i="62"/>
  <c r="AS9" i="62"/>
  <c r="AR9" i="62"/>
  <c r="AQ9" i="62"/>
  <c r="AP9" i="62"/>
  <c r="AO9" i="62"/>
  <c r="AN9" i="62"/>
  <c r="AM9" i="62"/>
  <c r="AL9" i="62"/>
  <c r="AK9" i="62"/>
  <c r="AJ9" i="62"/>
  <c r="AI9" i="62"/>
  <c r="AH9" i="62"/>
  <c r="AG9" i="62"/>
  <c r="AF9" i="62"/>
  <c r="AE9" i="62"/>
  <c r="AD9" i="62"/>
  <c r="AC9" i="62"/>
  <c r="AB9" i="62"/>
  <c r="AA9" i="62"/>
  <c r="Z9" i="62"/>
  <c r="Y9" i="62"/>
  <c r="X9" i="62"/>
  <c r="W9" i="62"/>
  <c r="V9" i="62"/>
  <c r="U9" i="62"/>
  <c r="S9" i="62"/>
  <c r="R9" i="62"/>
  <c r="Q9" i="62"/>
  <c r="P9" i="62"/>
  <c r="O9" i="62"/>
  <c r="N9" i="62"/>
  <c r="M9" i="62"/>
  <c r="L9" i="62"/>
  <c r="K9" i="62"/>
  <c r="J9" i="62"/>
  <c r="I9" i="62"/>
  <c r="H9" i="62"/>
  <c r="F8" i="62"/>
  <c r="C8" i="62"/>
  <c r="D8" i="62" s="1"/>
  <c r="AU7" i="62"/>
  <c r="AT7" i="62"/>
  <c r="AS7" i="62"/>
  <c r="AR7" i="62"/>
  <c r="AQ7" i="62"/>
  <c r="AP7" i="62"/>
  <c r="AO7" i="62"/>
  <c r="AN7" i="62"/>
  <c r="AM7" i="62"/>
  <c r="AL7" i="62"/>
  <c r="AK7" i="62"/>
  <c r="AJ7" i="62"/>
  <c r="AI7" i="62"/>
  <c r="AH7" i="62"/>
  <c r="AG7" i="62"/>
  <c r="AF7" i="62"/>
  <c r="AE7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F6" i="62"/>
  <c r="C6" i="62"/>
  <c r="D6" i="62" s="1"/>
  <c r="E6" i="62" s="1"/>
  <c r="F11" i="62" l="1"/>
  <c r="F9" i="62"/>
  <c r="F7" i="62"/>
  <c r="F13" i="62"/>
  <c r="AU11" i="61"/>
  <c r="AT11" i="61"/>
  <c r="AS11" i="61"/>
  <c r="AR11" i="61"/>
  <c r="AQ11" i="61"/>
  <c r="AP11" i="61"/>
  <c r="AO11" i="61"/>
  <c r="AN11" i="61"/>
  <c r="AM11" i="61"/>
  <c r="AL11" i="61"/>
  <c r="AK11" i="61"/>
  <c r="AJ11" i="61"/>
  <c r="AI11" i="61"/>
  <c r="AH11" i="61"/>
  <c r="AG11" i="61"/>
  <c r="AF11" i="61"/>
  <c r="AE11" i="61"/>
  <c r="AD11" i="61"/>
  <c r="AC11" i="61"/>
  <c r="AB11" i="61"/>
  <c r="AA11" i="61"/>
  <c r="Z11" i="61"/>
  <c r="Y11" i="61"/>
  <c r="X11" i="61"/>
  <c r="W11" i="61"/>
  <c r="V11" i="61"/>
  <c r="U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F10" i="61"/>
  <c r="C10" i="61"/>
  <c r="D10" i="61" s="1"/>
  <c r="E10" i="61" s="1"/>
  <c r="AU9" i="61"/>
  <c r="AT9" i="61"/>
  <c r="AS9" i="61"/>
  <c r="AR9" i="61"/>
  <c r="AQ9" i="61"/>
  <c r="AP9" i="61"/>
  <c r="AO9" i="61"/>
  <c r="AN9" i="61"/>
  <c r="AM9" i="61"/>
  <c r="AL9" i="61"/>
  <c r="AK9" i="61"/>
  <c r="AJ9" i="61"/>
  <c r="AI9" i="61"/>
  <c r="AH9" i="61"/>
  <c r="AG9" i="61"/>
  <c r="AF9" i="61"/>
  <c r="AE9" i="61"/>
  <c r="AD9" i="61"/>
  <c r="AC9" i="61"/>
  <c r="AB9" i="61"/>
  <c r="AA9" i="61"/>
  <c r="Z9" i="61"/>
  <c r="Y9" i="61"/>
  <c r="X9" i="61"/>
  <c r="W9" i="61"/>
  <c r="V9" i="61"/>
  <c r="U9" i="61"/>
  <c r="S9" i="61"/>
  <c r="R9" i="61"/>
  <c r="Q9" i="61"/>
  <c r="P9" i="61"/>
  <c r="O9" i="61"/>
  <c r="N9" i="61"/>
  <c r="M9" i="61"/>
  <c r="L9" i="61"/>
  <c r="K9" i="61"/>
  <c r="J9" i="61"/>
  <c r="I9" i="61"/>
  <c r="H9" i="61"/>
  <c r="F8" i="61"/>
  <c r="C8" i="61"/>
  <c r="D8" i="61" s="1"/>
  <c r="E8" i="61" s="1"/>
  <c r="AU7" i="61"/>
  <c r="AT7" i="61"/>
  <c r="AS7" i="61"/>
  <c r="AR7" i="61"/>
  <c r="AQ7" i="61"/>
  <c r="AP7" i="61"/>
  <c r="AO7" i="61"/>
  <c r="AN7" i="61"/>
  <c r="AM7" i="61"/>
  <c r="AL7" i="61"/>
  <c r="AK7" i="61"/>
  <c r="AJ7" i="61"/>
  <c r="AI7" i="61"/>
  <c r="AH7" i="61"/>
  <c r="AG7" i="61"/>
  <c r="AF7" i="61"/>
  <c r="AE7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F6" i="61"/>
  <c r="C6" i="61"/>
  <c r="D6" i="61" s="1"/>
  <c r="E6" i="61" s="1"/>
  <c r="F11" i="61" l="1"/>
  <c r="F9" i="61"/>
  <c r="F7" i="61"/>
  <c r="AU11" i="60"/>
  <c r="AT11" i="60"/>
  <c r="AS11" i="60"/>
  <c r="AR11" i="60"/>
  <c r="AQ11" i="60"/>
  <c r="AP11" i="60"/>
  <c r="AO11" i="60"/>
  <c r="AN11" i="60"/>
  <c r="AM11" i="60"/>
  <c r="AL11" i="60"/>
  <c r="AK11" i="60"/>
  <c r="AJ11" i="60"/>
  <c r="AI11" i="60"/>
  <c r="AH11" i="60"/>
  <c r="AG11" i="60"/>
  <c r="AF11" i="60"/>
  <c r="AE11" i="60"/>
  <c r="AD11" i="60"/>
  <c r="AC11" i="60"/>
  <c r="AB11" i="60"/>
  <c r="AA11" i="60"/>
  <c r="Z11" i="60"/>
  <c r="Y11" i="60"/>
  <c r="X11" i="60"/>
  <c r="W11" i="60"/>
  <c r="V11" i="60"/>
  <c r="U11" i="60"/>
  <c r="S11" i="60"/>
  <c r="R11" i="60"/>
  <c r="Q11" i="60"/>
  <c r="P11" i="60"/>
  <c r="O11" i="60"/>
  <c r="N11" i="60"/>
  <c r="M11" i="60"/>
  <c r="L11" i="60"/>
  <c r="K11" i="60"/>
  <c r="J11" i="60"/>
  <c r="F11" i="60" s="1"/>
  <c r="I11" i="60"/>
  <c r="H11" i="60"/>
  <c r="F10" i="60"/>
  <c r="C10" i="60"/>
  <c r="D10" i="60" s="1"/>
  <c r="E10" i="60" s="1"/>
  <c r="AU9" i="60"/>
  <c r="AT9" i="60"/>
  <c r="AS9" i="60"/>
  <c r="AR9" i="60"/>
  <c r="AQ9" i="60"/>
  <c r="AP9" i="60"/>
  <c r="AO9" i="60"/>
  <c r="AN9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S9" i="60"/>
  <c r="R9" i="60"/>
  <c r="Q9" i="60"/>
  <c r="P9" i="60"/>
  <c r="O9" i="60"/>
  <c r="N9" i="60"/>
  <c r="M9" i="60"/>
  <c r="L9" i="60"/>
  <c r="K9" i="60"/>
  <c r="J9" i="60"/>
  <c r="I9" i="60"/>
  <c r="H9" i="60"/>
  <c r="F9" i="60" s="1"/>
  <c r="F8" i="60"/>
  <c r="C8" i="60"/>
  <c r="D8" i="60" s="1"/>
  <c r="E8" i="60" s="1"/>
  <c r="AU7" i="60"/>
  <c r="AT7" i="60"/>
  <c r="AS7" i="60"/>
  <c r="AR7" i="60"/>
  <c r="AQ7" i="60"/>
  <c r="AP7" i="60"/>
  <c r="AO7" i="60"/>
  <c r="AN7" i="60"/>
  <c r="AM7" i="60"/>
  <c r="AL7" i="60"/>
  <c r="AK7" i="60"/>
  <c r="AJ7" i="60"/>
  <c r="AI7" i="60"/>
  <c r="AH7" i="60"/>
  <c r="AG7" i="60"/>
  <c r="AF7" i="60"/>
  <c r="AE7" i="60"/>
  <c r="AD7" i="60"/>
  <c r="AC7" i="60"/>
  <c r="AB7" i="60"/>
  <c r="AA7" i="60"/>
  <c r="Z7" i="60"/>
  <c r="Y7" i="60"/>
  <c r="X7" i="60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F7" i="60" s="1"/>
  <c r="F6" i="60"/>
  <c r="C6" i="60"/>
  <c r="D6" i="60" s="1"/>
  <c r="E6" i="60" s="1"/>
  <c r="T7" i="59" l="1"/>
  <c r="N7" i="59" l="1"/>
  <c r="AH7" i="59"/>
  <c r="AU11" i="59"/>
  <c r="AT11" i="59"/>
  <c r="AS11" i="59"/>
  <c r="AR11" i="59"/>
  <c r="AQ11" i="59"/>
  <c r="AP11" i="59"/>
  <c r="AO11" i="59"/>
  <c r="AN11" i="59"/>
  <c r="AM11" i="59"/>
  <c r="AL11" i="59"/>
  <c r="AK11" i="59"/>
  <c r="AJ11" i="59"/>
  <c r="AI11" i="59"/>
  <c r="AH11" i="59"/>
  <c r="AG11" i="59"/>
  <c r="AF11" i="59"/>
  <c r="AE11" i="59"/>
  <c r="AD11" i="59"/>
  <c r="AC11" i="59"/>
  <c r="AB11" i="59"/>
  <c r="AA11" i="59"/>
  <c r="Z11" i="59"/>
  <c r="Y11" i="59"/>
  <c r="X11" i="59"/>
  <c r="W11" i="59"/>
  <c r="V11" i="59"/>
  <c r="U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F10" i="59"/>
  <c r="C10" i="59"/>
  <c r="D10" i="59" s="1"/>
  <c r="E10" i="59" s="1"/>
  <c r="AU9" i="59"/>
  <c r="AT9" i="59"/>
  <c r="AS9" i="59"/>
  <c r="AR9" i="59"/>
  <c r="AQ9" i="59"/>
  <c r="AP9" i="59"/>
  <c r="AO9" i="59"/>
  <c r="AN9" i="59"/>
  <c r="AM9" i="59"/>
  <c r="AL9" i="59"/>
  <c r="AK9" i="59"/>
  <c r="AJ9" i="59"/>
  <c r="AI9" i="59"/>
  <c r="AH9" i="59"/>
  <c r="AG9" i="59"/>
  <c r="AF9" i="59"/>
  <c r="AE9" i="59"/>
  <c r="AD9" i="59"/>
  <c r="AC9" i="59"/>
  <c r="AB9" i="59"/>
  <c r="AA9" i="59"/>
  <c r="Z9" i="59"/>
  <c r="Y9" i="59"/>
  <c r="X9" i="59"/>
  <c r="W9" i="59"/>
  <c r="V9" i="59"/>
  <c r="U9" i="59"/>
  <c r="S9" i="59"/>
  <c r="R9" i="59"/>
  <c r="Q9" i="59"/>
  <c r="P9" i="59"/>
  <c r="O9" i="59"/>
  <c r="N9" i="59"/>
  <c r="M9" i="59"/>
  <c r="L9" i="59"/>
  <c r="K9" i="59"/>
  <c r="J9" i="59"/>
  <c r="I9" i="59"/>
  <c r="H9" i="59"/>
  <c r="F8" i="59"/>
  <c r="C8" i="59"/>
  <c r="D8" i="59" s="1"/>
  <c r="E8" i="59" s="1"/>
  <c r="AU7" i="59"/>
  <c r="AT7" i="59"/>
  <c r="AS7" i="59"/>
  <c r="AR7" i="59"/>
  <c r="AQ7" i="59"/>
  <c r="AP7" i="59"/>
  <c r="AO7" i="59"/>
  <c r="AN7" i="59"/>
  <c r="AM7" i="59"/>
  <c r="AL7" i="59"/>
  <c r="AK7" i="59"/>
  <c r="AJ7" i="59"/>
  <c r="AI7" i="59"/>
  <c r="AG7" i="59"/>
  <c r="AF7" i="59"/>
  <c r="AE7" i="59"/>
  <c r="AD7" i="59"/>
  <c r="AC7" i="59"/>
  <c r="AB7" i="59"/>
  <c r="AA7" i="59"/>
  <c r="Z7" i="59"/>
  <c r="Y7" i="59"/>
  <c r="X7" i="59"/>
  <c r="W7" i="59"/>
  <c r="V7" i="59"/>
  <c r="U7" i="59"/>
  <c r="S7" i="59"/>
  <c r="R7" i="59"/>
  <c r="Q7" i="59"/>
  <c r="P7" i="59"/>
  <c r="O7" i="59"/>
  <c r="M7" i="59"/>
  <c r="L7" i="59"/>
  <c r="K7" i="59"/>
  <c r="J7" i="59"/>
  <c r="I7" i="59"/>
  <c r="H7" i="59"/>
  <c r="F6" i="59"/>
  <c r="C6" i="59"/>
  <c r="D6" i="59" s="1"/>
  <c r="E6" i="59" s="1"/>
  <c r="F11" i="59" l="1"/>
  <c r="F7" i="59"/>
  <c r="F9" i="59"/>
  <c r="AT11" i="58"/>
  <c r="AS11" i="58"/>
  <c r="AR11" i="58"/>
  <c r="AQ11" i="58"/>
  <c r="AP11" i="58"/>
  <c r="AO11" i="58"/>
  <c r="AN11" i="58"/>
  <c r="AM11" i="58"/>
  <c r="AL11" i="58"/>
  <c r="AK11" i="58"/>
  <c r="AJ11" i="58"/>
  <c r="AI11" i="58"/>
  <c r="AH11" i="58"/>
  <c r="AG11" i="58"/>
  <c r="AF11" i="58"/>
  <c r="AE11" i="58"/>
  <c r="AD11" i="58"/>
  <c r="AC11" i="58"/>
  <c r="AB11" i="58"/>
  <c r="AA11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F10" i="58"/>
  <c r="C10" i="58"/>
  <c r="D10" i="58" s="1"/>
  <c r="E10" i="58" s="1"/>
  <c r="AT9" i="58"/>
  <c r="AS9" i="58"/>
  <c r="AR9" i="58"/>
  <c r="AQ9" i="58"/>
  <c r="AP9" i="58"/>
  <c r="AO9" i="58"/>
  <c r="AN9" i="58"/>
  <c r="AM9" i="58"/>
  <c r="AL9" i="58"/>
  <c r="AK9" i="58"/>
  <c r="AJ9" i="58"/>
  <c r="AI9" i="58"/>
  <c r="AH9" i="58"/>
  <c r="AG9" i="58"/>
  <c r="AF9" i="58"/>
  <c r="AE9" i="58"/>
  <c r="AD9" i="58"/>
  <c r="AC9" i="58"/>
  <c r="AB9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F8" i="58"/>
  <c r="C8" i="58"/>
  <c r="D8" i="58" s="1"/>
  <c r="E8" i="58" s="1"/>
  <c r="AT7" i="58"/>
  <c r="AS7" i="58"/>
  <c r="AR7" i="58"/>
  <c r="AQ7" i="58"/>
  <c r="AP7" i="58"/>
  <c r="AO7" i="58"/>
  <c r="AN7" i="58"/>
  <c r="AM7" i="58"/>
  <c r="AL7" i="58"/>
  <c r="AK7" i="58"/>
  <c r="AJ7" i="58"/>
  <c r="AI7" i="58"/>
  <c r="AH7" i="58"/>
  <c r="AG7" i="58"/>
  <c r="AF7" i="58"/>
  <c r="AE7" i="58"/>
  <c r="AD7" i="58"/>
  <c r="AC7" i="58"/>
  <c r="AB7" i="58"/>
  <c r="AA7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F6" i="58"/>
  <c r="C6" i="58"/>
  <c r="D6" i="58" s="1"/>
  <c r="E6" i="58" s="1"/>
  <c r="F7" i="58" l="1"/>
  <c r="F11" i="58"/>
  <c r="F9" i="58"/>
  <c r="AT13" i="57"/>
  <c r="AS13" i="57"/>
  <c r="AR13" i="57"/>
  <c r="AQ13" i="57"/>
  <c r="AP13" i="57"/>
  <c r="AO13" i="57"/>
  <c r="AN13" i="57"/>
  <c r="AM13" i="57"/>
  <c r="AL13" i="57"/>
  <c r="AK13" i="57"/>
  <c r="AJ13" i="57"/>
  <c r="AI13" i="57"/>
  <c r="AH13" i="57"/>
  <c r="AG13" i="57"/>
  <c r="AF13" i="57"/>
  <c r="AE13" i="57"/>
  <c r="AD13" i="57"/>
  <c r="AC13" i="57"/>
  <c r="AB13" i="57"/>
  <c r="AA13" i="57"/>
  <c r="Z13" i="57"/>
  <c r="Y13" i="57"/>
  <c r="X13" i="57"/>
  <c r="W13" i="57"/>
  <c r="V13" i="57"/>
  <c r="U13" i="57"/>
  <c r="T13" i="57"/>
  <c r="S13" i="57"/>
  <c r="R13" i="57"/>
  <c r="Q13" i="57"/>
  <c r="P13" i="57"/>
  <c r="O13" i="57"/>
  <c r="N13" i="57"/>
  <c r="M13" i="57"/>
  <c r="L13" i="57"/>
  <c r="K13" i="57"/>
  <c r="J13" i="57"/>
  <c r="I13" i="57"/>
  <c r="H13" i="57"/>
  <c r="F12" i="57"/>
  <c r="C12" i="57"/>
  <c r="D12" i="57" s="1"/>
  <c r="E12" i="57" s="1"/>
  <c r="AT11" i="57"/>
  <c r="AS11" i="57"/>
  <c r="AR11" i="57"/>
  <c r="AQ11" i="57"/>
  <c r="AP11" i="57"/>
  <c r="AO11" i="57"/>
  <c r="AN11" i="57"/>
  <c r="AM11" i="57"/>
  <c r="AL11" i="57"/>
  <c r="AK11" i="57"/>
  <c r="AJ11" i="57"/>
  <c r="AI11" i="57"/>
  <c r="AH11" i="57"/>
  <c r="AG11" i="57"/>
  <c r="AF11" i="57"/>
  <c r="AE11" i="57"/>
  <c r="AD11" i="57"/>
  <c r="AC11" i="57"/>
  <c r="AB11" i="57"/>
  <c r="AA11" i="57"/>
  <c r="Z11" i="57"/>
  <c r="Y11" i="57"/>
  <c r="X11" i="57"/>
  <c r="W11" i="57"/>
  <c r="V11" i="57"/>
  <c r="U11" i="57"/>
  <c r="T11" i="57"/>
  <c r="S11" i="57"/>
  <c r="R11" i="57"/>
  <c r="Q11" i="57"/>
  <c r="P11" i="57"/>
  <c r="O11" i="57"/>
  <c r="N11" i="57"/>
  <c r="M11" i="57"/>
  <c r="L11" i="57"/>
  <c r="K11" i="57"/>
  <c r="J11" i="57"/>
  <c r="I11" i="57"/>
  <c r="H11" i="57"/>
  <c r="F10" i="57"/>
  <c r="C10" i="57"/>
  <c r="D10" i="57" s="1"/>
  <c r="E10" i="57" s="1"/>
  <c r="AT9" i="57"/>
  <c r="AS9" i="57"/>
  <c r="AR9" i="57"/>
  <c r="AQ9" i="57"/>
  <c r="AP9" i="57"/>
  <c r="AO9" i="57"/>
  <c r="AN9" i="57"/>
  <c r="AM9" i="57"/>
  <c r="AL9" i="57"/>
  <c r="AK9" i="57"/>
  <c r="AJ9" i="57"/>
  <c r="AI9" i="57"/>
  <c r="AH9" i="57"/>
  <c r="AG9" i="57"/>
  <c r="AF9" i="57"/>
  <c r="AE9" i="57"/>
  <c r="AD9" i="57"/>
  <c r="AC9" i="57"/>
  <c r="AB9" i="57"/>
  <c r="AA9" i="57"/>
  <c r="Z9" i="57"/>
  <c r="Y9" i="57"/>
  <c r="X9" i="57"/>
  <c r="W9" i="57"/>
  <c r="V9" i="57"/>
  <c r="U9" i="57"/>
  <c r="T9" i="57"/>
  <c r="S9" i="57"/>
  <c r="R9" i="57"/>
  <c r="Q9" i="57"/>
  <c r="P9" i="57"/>
  <c r="O9" i="57"/>
  <c r="N9" i="57"/>
  <c r="M9" i="57"/>
  <c r="L9" i="57"/>
  <c r="K9" i="57"/>
  <c r="J9" i="57"/>
  <c r="I9" i="57"/>
  <c r="H9" i="57"/>
  <c r="F8" i="57"/>
  <c r="C8" i="57"/>
  <c r="D8" i="57" s="1"/>
  <c r="E8" i="57" s="1"/>
  <c r="AT7" i="57"/>
  <c r="AS7" i="57"/>
  <c r="AR7" i="57"/>
  <c r="AQ7" i="57"/>
  <c r="AP7" i="57"/>
  <c r="AO7" i="57"/>
  <c r="AN7" i="57"/>
  <c r="AM7" i="57"/>
  <c r="AL7" i="57"/>
  <c r="AK7" i="57"/>
  <c r="AJ7" i="57"/>
  <c r="AI7" i="57"/>
  <c r="AH7" i="57"/>
  <c r="AG7" i="57"/>
  <c r="AF7" i="57"/>
  <c r="AE7" i="57"/>
  <c r="AD7" i="57"/>
  <c r="AC7" i="57"/>
  <c r="AB7" i="57"/>
  <c r="AA7" i="57"/>
  <c r="Z7" i="57"/>
  <c r="Y7" i="57"/>
  <c r="X7" i="57"/>
  <c r="W7" i="57"/>
  <c r="V7" i="57"/>
  <c r="U7" i="57"/>
  <c r="T7" i="57"/>
  <c r="S7" i="57"/>
  <c r="R7" i="57"/>
  <c r="Q7" i="57"/>
  <c r="P7" i="57"/>
  <c r="O7" i="57"/>
  <c r="N7" i="57"/>
  <c r="M7" i="57"/>
  <c r="L7" i="57"/>
  <c r="K7" i="57"/>
  <c r="J7" i="57"/>
  <c r="I7" i="57"/>
  <c r="H7" i="57"/>
  <c r="F6" i="57"/>
  <c r="C6" i="57"/>
  <c r="D6" i="57" s="1"/>
  <c r="E6" i="57" s="1"/>
  <c r="F13" i="57" l="1"/>
  <c r="F11" i="57"/>
  <c r="F9" i="57"/>
  <c r="F7" i="57"/>
  <c r="AT13" i="56"/>
  <c r="AS13" i="56"/>
  <c r="AR13" i="56"/>
  <c r="AQ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AD13" i="56"/>
  <c r="AC13" i="56"/>
  <c r="AB13" i="56"/>
  <c r="AA13" i="56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F12" i="56"/>
  <c r="C12" i="56"/>
  <c r="D12" i="56" s="1"/>
  <c r="E12" i="56" s="1"/>
  <c r="AT11" i="56"/>
  <c r="AS11" i="56"/>
  <c r="AR11" i="56"/>
  <c r="AQ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AD11" i="56"/>
  <c r="AC11" i="56"/>
  <c r="AB11" i="56"/>
  <c r="AA11" i="56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F10" i="56"/>
  <c r="C10" i="56"/>
  <c r="D10" i="56" s="1"/>
  <c r="E10" i="56" s="1"/>
  <c r="AT9" i="56"/>
  <c r="AS9" i="56"/>
  <c r="AR9" i="56"/>
  <c r="AQ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AD9" i="56"/>
  <c r="AC9" i="56"/>
  <c r="AB9" i="56"/>
  <c r="AA9" i="56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F8" i="56"/>
  <c r="C8" i="56"/>
  <c r="D8" i="56" s="1"/>
  <c r="E8" i="56" s="1"/>
  <c r="AT7" i="56"/>
  <c r="AS7" i="56"/>
  <c r="AR7" i="56"/>
  <c r="AQ7" i="56"/>
  <c r="AP7" i="56"/>
  <c r="AO7" i="56"/>
  <c r="AN7" i="56"/>
  <c r="AM7" i="56"/>
  <c r="AL7" i="56"/>
  <c r="AK7" i="56"/>
  <c r="AJ7" i="56"/>
  <c r="AI7" i="56"/>
  <c r="AH7" i="56"/>
  <c r="AG7" i="56"/>
  <c r="AF7" i="56"/>
  <c r="AE7" i="56"/>
  <c r="AD7" i="56"/>
  <c r="AC7" i="56"/>
  <c r="AB7" i="56"/>
  <c r="AA7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F6" i="56"/>
  <c r="C6" i="56"/>
  <c r="D6" i="56" s="1"/>
  <c r="E6" i="56" s="1"/>
  <c r="F13" i="56" l="1"/>
  <c r="F11" i="56"/>
  <c r="F9" i="56"/>
  <c r="F7" i="56"/>
  <c r="AT13" i="55"/>
  <c r="AS13" i="55"/>
  <c r="AR13" i="55"/>
  <c r="AQ13" i="55"/>
  <c r="AP13" i="55"/>
  <c r="AO13" i="55"/>
  <c r="AN13" i="55"/>
  <c r="AM13" i="55"/>
  <c r="AL13" i="55"/>
  <c r="AK13" i="55"/>
  <c r="AJ13" i="55"/>
  <c r="AI13" i="55"/>
  <c r="AH13" i="55"/>
  <c r="AG13" i="55"/>
  <c r="AF13" i="55"/>
  <c r="AE13" i="55"/>
  <c r="AD13" i="55"/>
  <c r="AC13" i="55"/>
  <c r="AB13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F12" i="55"/>
  <c r="C12" i="55"/>
  <c r="D12" i="55" s="1"/>
  <c r="E12" i="55" s="1"/>
  <c r="AT11" i="55"/>
  <c r="AS11" i="55"/>
  <c r="AR11" i="55"/>
  <c r="AQ11" i="55"/>
  <c r="AP11" i="55"/>
  <c r="AO11" i="55"/>
  <c r="AN11" i="55"/>
  <c r="AM11" i="55"/>
  <c r="AL11" i="55"/>
  <c r="AK11" i="55"/>
  <c r="AJ11" i="55"/>
  <c r="AI11" i="55"/>
  <c r="AH11" i="55"/>
  <c r="AG11" i="55"/>
  <c r="AF11" i="55"/>
  <c r="AE11" i="55"/>
  <c r="AD11" i="55"/>
  <c r="AC11" i="55"/>
  <c r="AB11" i="55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F10" i="55"/>
  <c r="C10" i="55"/>
  <c r="D10" i="55" s="1"/>
  <c r="E10" i="55" s="1"/>
  <c r="AT9" i="55"/>
  <c r="AS9" i="55"/>
  <c r="AR9" i="55"/>
  <c r="AQ9" i="55"/>
  <c r="AP9" i="55"/>
  <c r="AO9" i="55"/>
  <c r="AN9" i="55"/>
  <c r="AM9" i="55"/>
  <c r="AL9" i="55"/>
  <c r="AK9" i="55"/>
  <c r="AJ9" i="55"/>
  <c r="AI9" i="55"/>
  <c r="AH9" i="55"/>
  <c r="AG9" i="55"/>
  <c r="AF9" i="55"/>
  <c r="AE9" i="55"/>
  <c r="AD9" i="55"/>
  <c r="AC9" i="55"/>
  <c r="AB9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H9" i="55"/>
  <c r="F8" i="55"/>
  <c r="C8" i="55"/>
  <c r="D8" i="55" s="1"/>
  <c r="E8" i="55" s="1"/>
  <c r="AT7" i="55"/>
  <c r="AS7" i="55"/>
  <c r="AR7" i="55"/>
  <c r="AQ7" i="55"/>
  <c r="AP7" i="55"/>
  <c r="AO7" i="55"/>
  <c r="AN7" i="55"/>
  <c r="AM7" i="55"/>
  <c r="AL7" i="55"/>
  <c r="AK7" i="55"/>
  <c r="AJ7" i="55"/>
  <c r="AI7" i="55"/>
  <c r="AH7" i="55"/>
  <c r="AG7" i="55"/>
  <c r="AF7" i="55"/>
  <c r="AE7" i="55"/>
  <c r="AD7" i="55"/>
  <c r="AC7" i="55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H7" i="55"/>
  <c r="F6" i="55"/>
  <c r="C6" i="55"/>
  <c r="D6" i="55" s="1"/>
  <c r="E6" i="55" s="1"/>
  <c r="F13" i="55" l="1"/>
  <c r="F11" i="55"/>
  <c r="F9" i="55"/>
  <c r="F7" i="55"/>
  <c r="AT13" i="54"/>
  <c r="AS13" i="54"/>
  <c r="AR13" i="54"/>
  <c r="AQ13" i="54"/>
  <c r="AP13" i="54"/>
  <c r="AO13" i="54"/>
  <c r="AN13" i="54"/>
  <c r="AM13" i="54"/>
  <c r="AL13" i="54"/>
  <c r="AK13" i="54"/>
  <c r="AJ13" i="54"/>
  <c r="AI13" i="54"/>
  <c r="AH13" i="54"/>
  <c r="AG13" i="54"/>
  <c r="AF13" i="54"/>
  <c r="AE13" i="54"/>
  <c r="AD13" i="54"/>
  <c r="AC13" i="54"/>
  <c r="AB13" i="54"/>
  <c r="AA13" i="54"/>
  <c r="Z13" i="54"/>
  <c r="Y13" i="54"/>
  <c r="X13" i="54"/>
  <c r="W13" i="54"/>
  <c r="V13" i="54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F13" i="54" s="1"/>
  <c r="F12" i="54"/>
  <c r="C12" i="54"/>
  <c r="D12" i="54" s="1"/>
  <c r="E12" i="54" s="1"/>
  <c r="AT11" i="54"/>
  <c r="AS11" i="54"/>
  <c r="AR11" i="54"/>
  <c r="AQ11" i="54"/>
  <c r="AP11" i="54"/>
  <c r="AO11" i="54"/>
  <c r="AN11" i="54"/>
  <c r="AM11" i="54"/>
  <c r="AL11" i="54"/>
  <c r="AK11" i="54"/>
  <c r="AJ11" i="54"/>
  <c r="AI11" i="54"/>
  <c r="AH11" i="54"/>
  <c r="AG11" i="54"/>
  <c r="AF11" i="54"/>
  <c r="AE11" i="54"/>
  <c r="AD11" i="54"/>
  <c r="AC11" i="54"/>
  <c r="AB11" i="54"/>
  <c r="AA11" i="54"/>
  <c r="Z11" i="54"/>
  <c r="Y11" i="54"/>
  <c r="X11" i="54"/>
  <c r="W11" i="54"/>
  <c r="V11" i="54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F11" i="54" s="1"/>
  <c r="F10" i="54"/>
  <c r="C10" i="54"/>
  <c r="D10" i="54" s="1"/>
  <c r="E10" i="54" s="1"/>
  <c r="AT9" i="54"/>
  <c r="AS9" i="54"/>
  <c r="AR9" i="54"/>
  <c r="AQ9" i="54"/>
  <c r="AP9" i="54"/>
  <c r="AO9" i="54"/>
  <c r="AN9" i="54"/>
  <c r="AM9" i="54"/>
  <c r="AL9" i="54"/>
  <c r="AK9" i="54"/>
  <c r="AJ9" i="54"/>
  <c r="AI9" i="54"/>
  <c r="AH9" i="54"/>
  <c r="AG9" i="54"/>
  <c r="AF9" i="54"/>
  <c r="AE9" i="54"/>
  <c r="AD9" i="54"/>
  <c r="AC9" i="54"/>
  <c r="AB9" i="54"/>
  <c r="AA9" i="54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F9" i="54" s="1"/>
  <c r="J9" i="54"/>
  <c r="I9" i="54"/>
  <c r="H9" i="54"/>
  <c r="F8" i="54"/>
  <c r="C8" i="54"/>
  <c r="D8" i="54" s="1"/>
  <c r="E8" i="54" s="1"/>
  <c r="AT7" i="54"/>
  <c r="AS7" i="54"/>
  <c r="AR7" i="54"/>
  <c r="AQ7" i="54"/>
  <c r="AP7" i="54"/>
  <c r="AO7" i="54"/>
  <c r="AN7" i="54"/>
  <c r="AM7" i="54"/>
  <c r="AL7" i="54"/>
  <c r="AK7" i="54"/>
  <c r="AJ7" i="54"/>
  <c r="AI7" i="54"/>
  <c r="AH7" i="54"/>
  <c r="AG7" i="54"/>
  <c r="AF7" i="54"/>
  <c r="AE7" i="54"/>
  <c r="AD7" i="54"/>
  <c r="AC7" i="54"/>
  <c r="AB7" i="54"/>
  <c r="AA7" i="54"/>
  <c r="Z7" i="54"/>
  <c r="Y7" i="54"/>
  <c r="X7" i="54"/>
  <c r="W7" i="54"/>
  <c r="V7" i="54"/>
  <c r="U7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F7" i="54"/>
  <c r="F6" i="54"/>
  <c r="C6" i="54"/>
  <c r="D6" i="54" s="1"/>
  <c r="E6" i="54" s="1"/>
  <c r="AT13" i="53" l="1"/>
  <c r="AS13" i="53"/>
  <c r="AR13" i="53"/>
  <c r="AQ13" i="53"/>
  <c r="AP13" i="53"/>
  <c r="AO13" i="53"/>
  <c r="AN13" i="53"/>
  <c r="AM13" i="53"/>
  <c r="AL13" i="53"/>
  <c r="AK13" i="53"/>
  <c r="AJ13" i="53"/>
  <c r="AI13" i="53"/>
  <c r="AH13" i="53"/>
  <c r="AG13" i="53"/>
  <c r="AF13" i="53"/>
  <c r="AE13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F12" i="53"/>
  <c r="C12" i="53"/>
  <c r="D12" i="53" s="1"/>
  <c r="E12" i="53" s="1"/>
  <c r="AT11" i="53"/>
  <c r="AS11" i="53"/>
  <c r="AR11" i="53"/>
  <c r="AQ11" i="53"/>
  <c r="AP11" i="53"/>
  <c r="AO11" i="53"/>
  <c r="AN11" i="53"/>
  <c r="AM11" i="53"/>
  <c r="AL11" i="53"/>
  <c r="AK11" i="53"/>
  <c r="AJ11" i="53"/>
  <c r="AI11" i="53"/>
  <c r="AH11" i="53"/>
  <c r="AG11" i="53"/>
  <c r="AF11" i="53"/>
  <c r="AE11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F10" i="53"/>
  <c r="C10" i="53"/>
  <c r="D10" i="53" s="1"/>
  <c r="E10" i="53" s="1"/>
  <c r="AT9" i="53"/>
  <c r="AS9" i="53"/>
  <c r="AR9" i="53"/>
  <c r="AQ9" i="53"/>
  <c r="AP9" i="53"/>
  <c r="AO9" i="53"/>
  <c r="AN9" i="53"/>
  <c r="AM9" i="53"/>
  <c r="AL9" i="53"/>
  <c r="AK9" i="53"/>
  <c r="AJ9" i="53"/>
  <c r="AI9" i="53"/>
  <c r="AH9" i="53"/>
  <c r="AG9" i="53"/>
  <c r="AF9" i="53"/>
  <c r="AE9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F8" i="53"/>
  <c r="C8" i="53"/>
  <c r="D8" i="53" s="1"/>
  <c r="E8" i="53" s="1"/>
  <c r="AT7" i="53"/>
  <c r="AS7" i="53"/>
  <c r="AR7" i="53"/>
  <c r="AQ7" i="53"/>
  <c r="AP7" i="53"/>
  <c r="AO7" i="53"/>
  <c r="AN7" i="53"/>
  <c r="AM7" i="53"/>
  <c r="AL7" i="53"/>
  <c r="AK7" i="53"/>
  <c r="AJ7" i="53"/>
  <c r="AI7" i="53"/>
  <c r="AH7" i="53"/>
  <c r="AG7" i="53"/>
  <c r="AF7" i="53"/>
  <c r="AE7" i="53"/>
  <c r="AD7" i="53"/>
  <c r="AC7" i="53"/>
  <c r="AB7" i="53"/>
  <c r="AA7" i="53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H7" i="53"/>
  <c r="F6" i="53"/>
  <c r="C6" i="53"/>
  <c r="D6" i="53" s="1"/>
  <c r="E6" i="53" s="1"/>
  <c r="F7" i="53" l="1"/>
  <c r="F13" i="53"/>
  <c r="F11" i="53"/>
  <c r="F9" i="53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A13" i="51"/>
  <c r="AB13" i="51"/>
  <c r="AC13" i="51"/>
  <c r="AD13" i="51"/>
  <c r="AE13" i="51"/>
  <c r="AF13" i="51"/>
  <c r="AG13" i="51"/>
  <c r="AH13" i="51"/>
  <c r="AI13" i="51"/>
  <c r="AJ13" i="51"/>
  <c r="AK13" i="51"/>
  <c r="AL13" i="51"/>
  <c r="AM13" i="51"/>
  <c r="AN13" i="51"/>
  <c r="AO13" i="51"/>
  <c r="AP13" i="51"/>
  <c r="AQ13" i="51"/>
  <c r="AR13" i="51"/>
  <c r="AS13" i="51"/>
  <c r="AT13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A11" i="51"/>
  <c r="AB11" i="51"/>
  <c r="AC11" i="51"/>
  <c r="AD11" i="51"/>
  <c r="AE11" i="51"/>
  <c r="AF11" i="51"/>
  <c r="AG11" i="51"/>
  <c r="AH11" i="51"/>
  <c r="AI11" i="51"/>
  <c r="AJ11" i="51"/>
  <c r="AK11" i="51"/>
  <c r="AL11" i="51"/>
  <c r="AM11" i="51"/>
  <c r="AN11" i="51"/>
  <c r="AO11" i="51"/>
  <c r="AP11" i="51"/>
  <c r="AQ11" i="51"/>
  <c r="AR11" i="51"/>
  <c r="AS11" i="51"/>
  <c r="AT11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A9" i="51"/>
  <c r="AB9" i="51"/>
  <c r="AC9" i="51"/>
  <c r="AD9" i="51"/>
  <c r="AE9" i="51"/>
  <c r="AF9" i="51"/>
  <c r="AG9" i="51"/>
  <c r="AH9" i="51"/>
  <c r="AI9" i="51"/>
  <c r="AJ9" i="51"/>
  <c r="AK9" i="51"/>
  <c r="AL9" i="51"/>
  <c r="AM9" i="51"/>
  <c r="AN9" i="51"/>
  <c r="AO9" i="51"/>
  <c r="AP9" i="51"/>
  <c r="AQ9" i="51"/>
  <c r="AR9" i="51"/>
  <c r="AS9" i="51"/>
  <c r="AT9" i="51"/>
  <c r="H7" i="51"/>
  <c r="I7" i="51"/>
  <c r="J7" i="51"/>
  <c r="K7" i="51"/>
  <c r="L7" i="51"/>
  <c r="M7" i="51"/>
  <c r="N7" i="51"/>
  <c r="O7" i="51"/>
  <c r="P7" i="51"/>
  <c r="Q7" i="51"/>
  <c r="R7" i="51"/>
  <c r="S7" i="51"/>
  <c r="T7" i="51"/>
  <c r="U7" i="51"/>
  <c r="V7" i="51"/>
  <c r="W7" i="51"/>
  <c r="X7" i="51"/>
  <c r="Y7" i="51"/>
  <c r="Z7" i="51"/>
  <c r="AA7" i="51"/>
  <c r="AB7" i="51"/>
  <c r="AC7" i="51"/>
  <c r="AD7" i="51"/>
  <c r="AE7" i="51"/>
  <c r="AF7" i="51"/>
  <c r="AG7" i="51"/>
  <c r="AH7" i="51"/>
  <c r="AI7" i="51"/>
  <c r="AJ7" i="51"/>
  <c r="AK7" i="51"/>
  <c r="AL7" i="51"/>
  <c r="AM7" i="51"/>
  <c r="AN7" i="51"/>
  <c r="AO7" i="51"/>
  <c r="AP7" i="51"/>
  <c r="AQ7" i="51"/>
  <c r="AR7" i="51"/>
  <c r="AS7" i="51"/>
  <c r="AT7" i="51"/>
  <c r="F7" i="51" l="1"/>
  <c r="F8" i="51"/>
  <c r="F9" i="51"/>
  <c r="F10" i="51"/>
  <c r="F11" i="51"/>
  <c r="F12" i="51"/>
  <c r="F13" i="51"/>
  <c r="F6" i="51"/>
  <c r="C12" i="51" l="1"/>
  <c r="D12" i="51" s="1"/>
  <c r="E12" i="51" s="1"/>
  <c r="C10" i="51"/>
  <c r="D10" i="51" s="1"/>
  <c r="E10" i="51" s="1"/>
  <c r="C8" i="51"/>
  <c r="D8" i="51" s="1"/>
  <c r="E8" i="51" s="1"/>
  <c r="C6" i="51"/>
  <c r="D6" i="51" s="1"/>
  <c r="E6" i="51" s="1"/>
  <c r="C52" i="50" l="1"/>
  <c r="D52" i="50" s="1"/>
  <c r="E52" i="50" s="1"/>
  <c r="V33" i="50"/>
  <c r="U33" i="50"/>
  <c r="T33" i="50"/>
  <c r="S33" i="50"/>
  <c r="F60" i="50"/>
  <c r="F58" i="50"/>
  <c r="F56" i="50"/>
  <c r="F54" i="50"/>
  <c r="F52" i="50"/>
  <c r="F50" i="50"/>
  <c r="F48" i="50"/>
  <c r="F46" i="50"/>
  <c r="F44" i="50"/>
  <c r="F42" i="50"/>
  <c r="F40" i="50"/>
  <c r="F38" i="50"/>
  <c r="F36" i="50"/>
  <c r="F34" i="50"/>
  <c r="F32" i="50"/>
  <c r="F30" i="50"/>
  <c r="F28" i="50"/>
  <c r="F26" i="50"/>
  <c r="F24" i="50"/>
  <c r="F22" i="50"/>
  <c r="F20" i="50"/>
  <c r="F18" i="50"/>
  <c r="F16" i="50"/>
  <c r="F14" i="50"/>
  <c r="F12" i="50"/>
  <c r="F10" i="50"/>
  <c r="F8" i="50"/>
  <c r="F6" i="50"/>
  <c r="C60" i="50"/>
  <c r="D60" i="50" s="1"/>
  <c r="E60" i="50" s="1"/>
  <c r="C58" i="50"/>
  <c r="D58" i="50" s="1"/>
  <c r="E58" i="50" s="1"/>
  <c r="C56" i="50"/>
  <c r="D56" i="50" s="1"/>
  <c r="E56" i="50" s="1"/>
  <c r="C54" i="50"/>
  <c r="D54" i="50" s="1"/>
  <c r="E54" i="50" s="1"/>
  <c r="C50" i="50"/>
  <c r="D50" i="50" s="1"/>
  <c r="E50" i="50" s="1"/>
  <c r="AO49" i="50"/>
  <c r="AN49" i="50"/>
  <c r="AM49" i="50"/>
  <c r="AL49" i="50"/>
  <c r="AK49" i="50"/>
  <c r="AJ49" i="50"/>
  <c r="AI49" i="50"/>
  <c r="AH49" i="50"/>
  <c r="AG49" i="50"/>
  <c r="AF49" i="50"/>
  <c r="AE49" i="50"/>
  <c r="AD49" i="50"/>
  <c r="AC49" i="50"/>
  <c r="AB49" i="50"/>
  <c r="AA49" i="50"/>
  <c r="Z49" i="50"/>
  <c r="Y49" i="50"/>
  <c r="X49" i="50"/>
  <c r="W49" i="50"/>
  <c r="V49" i="50"/>
  <c r="U49" i="50"/>
  <c r="T49" i="50"/>
  <c r="S49" i="50"/>
  <c r="R49" i="50"/>
  <c r="Q49" i="50"/>
  <c r="O49" i="50"/>
  <c r="N49" i="50"/>
  <c r="M49" i="50"/>
  <c r="L49" i="50"/>
  <c r="K49" i="50"/>
  <c r="J49" i="50"/>
  <c r="I49" i="50"/>
  <c r="H49" i="50"/>
  <c r="C48" i="50"/>
  <c r="D48" i="50" s="1"/>
  <c r="E48" i="50" s="1"/>
  <c r="AO47" i="50"/>
  <c r="AN47" i="50"/>
  <c r="AM47" i="50"/>
  <c r="AL47" i="50"/>
  <c r="AK47" i="50"/>
  <c r="AJ47" i="50"/>
  <c r="AI47" i="50"/>
  <c r="AH47" i="50"/>
  <c r="AG47" i="50"/>
  <c r="AF47" i="50"/>
  <c r="AE47" i="50"/>
  <c r="AD47" i="50"/>
  <c r="AC47" i="50"/>
  <c r="AB47" i="50"/>
  <c r="AA47" i="50"/>
  <c r="Z47" i="50"/>
  <c r="Y47" i="50"/>
  <c r="X47" i="50"/>
  <c r="W47" i="50"/>
  <c r="V47" i="50"/>
  <c r="U47" i="50"/>
  <c r="T47" i="50"/>
  <c r="S47" i="50"/>
  <c r="R47" i="50"/>
  <c r="Q47" i="50"/>
  <c r="P47" i="50"/>
  <c r="O47" i="50"/>
  <c r="N47" i="50"/>
  <c r="M47" i="50"/>
  <c r="L47" i="50"/>
  <c r="K47" i="50"/>
  <c r="J47" i="50"/>
  <c r="I47" i="50"/>
  <c r="H47" i="50"/>
  <c r="C46" i="50"/>
  <c r="D46" i="50" s="1"/>
  <c r="E46" i="50" s="1"/>
  <c r="C44" i="50"/>
  <c r="D44" i="50" s="1"/>
  <c r="E44" i="50" s="1"/>
  <c r="AO43" i="50"/>
  <c r="AN43" i="50"/>
  <c r="AM43" i="50"/>
  <c r="AL43" i="50"/>
  <c r="AK43" i="50"/>
  <c r="AJ43" i="50"/>
  <c r="AI43" i="50"/>
  <c r="AH43" i="50"/>
  <c r="AG43" i="50"/>
  <c r="AF43" i="50"/>
  <c r="AE43" i="50"/>
  <c r="AD43" i="50"/>
  <c r="AC43" i="50"/>
  <c r="AB43" i="50"/>
  <c r="AA43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M43" i="50"/>
  <c r="L43" i="50"/>
  <c r="K43" i="50"/>
  <c r="J43" i="50"/>
  <c r="I43" i="50"/>
  <c r="H43" i="50"/>
  <c r="C42" i="50"/>
  <c r="D42" i="50" s="1"/>
  <c r="E42" i="50" s="1"/>
  <c r="C40" i="50"/>
  <c r="D40" i="50" s="1"/>
  <c r="E40" i="50" s="1"/>
  <c r="C38" i="50"/>
  <c r="D38" i="50" s="1"/>
  <c r="E38" i="50" s="1"/>
  <c r="C36" i="50"/>
  <c r="D36" i="50" s="1"/>
  <c r="E36" i="50" s="1"/>
  <c r="AO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C34" i="50"/>
  <c r="D34" i="50" s="1"/>
  <c r="E34" i="50" s="1"/>
  <c r="AO33" i="50"/>
  <c r="AN33" i="50"/>
  <c r="AM33" i="50"/>
  <c r="AL33" i="50"/>
  <c r="AK33" i="50"/>
  <c r="AJ33" i="50"/>
  <c r="AI33" i="50"/>
  <c r="AH33" i="50"/>
  <c r="AG33" i="50"/>
  <c r="AF33" i="50"/>
  <c r="AE33" i="50"/>
  <c r="AD33" i="50"/>
  <c r="AC33" i="50"/>
  <c r="AB33" i="50"/>
  <c r="AA33" i="50"/>
  <c r="Z33" i="50"/>
  <c r="R33" i="50"/>
  <c r="Q33" i="50"/>
  <c r="P33" i="50"/>
  <c r="O33" i="50"/>
  <c r="N33" i="50"/>
  <c r="M33" i="50"/>
  <c r="L33" i="50"/>
  <c r="K33" i="50"/>
  <c r="J33" i="50"/>
  <c r="I33" i="50"/>
  <c r="H33" i="50"/>
  <c r="C32" i="50"/>
  <c r="D32" i="50" s="1"/>
  <c r="E32" i="50" s="1"/>
  <c r="C30" i="50"/>
  <c r="D30" i="50" s="1"/>
  <c r="E30" i="50" s="1"/>
  <c r="C28" i="50"/>
  <c r="D28" i="50" s="1"/>
  <c r="E28" i="50" s="1"/>
  <c r="AO27" i="50"/>
  <c r="AN27" i="50"/>
  <c r="AM27" i="50"/>
  <c r="AL27" i="50"/>
  <c r="AK27" i="50"/>
  <c r="AJ27" i="50"/>
  <c r="AI27" i="50"/>
  <c r="AH27" i="50"/>
  <c r="AG27" i="50"/>
  <c r="AF27" i="50"/>
  <c r="AE27" i="50"/>
  <c r="AD27" i="50"/>
  <c r="AC27" i="50"/>
  <c r="AB27" i="50"/>
  <c r="AA27" i="50"/>
  <c r="Z27" i="50"/>
  <c r="Y27" i="50"/>
  <c r="X27" i="50"/>
  <c r="W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C26" i="50"/>
  <c r="D26" i="50" s="1"/>
  <c r="E26" i="50" s="1"/>
  <c r="AO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C24" i="50"/>
  <c r="D24" i="50" s="1"/>
  <c r="E24" i="50" s="1"/>
  <c r="AO23" i="50"/>
  <c r="AN23" i="50"/>
  <c r="AM23" i="50"/>
  <c r="AL23" i="50"/>
  <c r="AK23" i="50"/>
  <c r="AJ23" i="50"/>
  <c r="AI23" i="50"/>
  <c r="AH23" i="50"/>
  <c r="AG23" i="50"/>
  <c r="AF23" i="50"/>
  <c r="AE23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J23" i="50"/>
  <c r="I23" i="50"/>
  <c r="H23" i="50"/>
  <c r="C22" i="50"/>
  <c r="D22" i="50" s="1"/>
  <c r="E22" i="50" s="1"/>
  <c r="C20" i="50"/>
  <c r="D20" i="50" s="1"/>
  <c r="E20" i="50" s="1"/>
  <c r="C18" i="50"/>
  <c r="D18" i="50" s="1"/>
  <c r="E18" i="50" s="1"/>
  <c r="AO17" i="50"/>
  <c r="AN17" i="50"/>
  <c r="AM17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C16" i="50"/>
  <c r="D16" i="50" s="1"/>
  <c r="E16" i="50" s="1"/>
  <c r="C14" i="50"/>
  <c r="D14" i="50" s="1"/>
  <c r="E14" i="50" s="1"/>
  <c r="C12" i="50"/>
  <c r="D12" i="50" s="1"/>
  <c r="E12" i="50" s="1"/>
  <c r="C10" i="50"/>
  <c r="D10" i="50" s="1"/>
  <c r="E10" i="50" s="1"/>
  <c r="C8" i="50"/>
  <c r="D8" i="50" s="1"/>
  <c r="E8" i="50" s="1"/>
  <c r="C6" i="50"/>
  <c r="D6" i="50" s="1"/>
  <c r="E6" i="50" s="1"/>
  <c r="H53" i="49" l="1"/>
  <c r="I53" i="49"/>
  <c r="J53" i="49"/>
  <c r="K53" i="49"/>
  <c r="L53" i="49"/>
  <c r="M53" i="49"/>
  <c r="N53" i="49"/>
  <c r="O53" i="49"/>
  <c r="P53" i="49"/>
  <c r="Q53" i="49"/>
  <c r="R53" i="49"/>
  <c r="S53" i="49"/>
  <c r="T53" i="49"/>
  <c r="U53" i="49"/>
  <c r="V53" i="49"/>
  <c r="W53" i="49"/>
  <c r="X53" i="49"/>
  <c r="Y53" i="49"/>
  <c r="Z53" i="49"/>
  <c r="AA53" i="49"/>
  <c r="AB53" i="49"/>
  <c r="AC53" i="49"/>
  <c r="AD53" i="49"/>
  <c r="AE53" i="49"/>
  <c r="AF53" i="49"/>
  <c r="AG53" i="49"/>
  <c r="AH53" i="49"/>
  <c r="AI53" i="49"/>
  <c r="AJ53" i="49"/>
  <c r="AK53" i="49"/>
  <c r="AL53" i="49"/>
  <c r="AM53" i="49"/>
  <c r="AN53" i="49"/>
  <c r="AO53" i="49"/>
  <c r="H49" i="49"/>
  <c r="I49" i="49"/>
  <c r="J49" i="49"/>
  <c r="K49" i="49"/>
  <c r="L49" i="49"/>
  <c r="M49" i="49"/>
  <c r="N49" i="49"/>
  <c r="O49" i="49"/>
  <c r="P49" i="49"/>
  <c r="Q49" i="49"/>
  <c r="R49" i="49"/>
  <c r="S49" i="49"/>
  <c r="T49" i="49"/>
  <c r="U49" i="49"/>
  <c r="V49" i="49"/>
  <c r="W49" i="49"/>
  <c r="X49" i="49"/>
  <c r="Y49" i="49"/>
  <c r="Z49" i="49"/>
  <c r="AA49" i="49"/>
  <c r="AB49" i="49"/>
  <c r="AC49" i="49"/>
  <c r="AD49" i="49"/>
  <c r="AE49" i="49"/>
  <c r="AF49" i="49"/>
  <c r="AG49" i="49"/>
  <c r="AH49" i="49"/>
  <c r="AI49" i="49"/>
  <c r="AJ49" i="49"/>
  <c r="AK49" i="49"/>
  <c r="AL49" i="49"/>
  <c r="AM49" i="49"/>
  <c r="AN49" i="49"/>
  <c r="AO49" i="49"/>
  <c r="H47" i="49"/>
  <c r="I47" i="49"/>
  <c r="J47" i="49"/>
  <c r="K47" i="49"/>
  <c r="L47" i="49"/>
  <c r="M47" i="49"/>
  <c r="N47" i="49"/>
  <c r="O47" i="49"/>
  <c r="P47" i="49"/>
  <c r="Q47" i="49"/>
  <c r="R47" i="49"/>
  <c r="S47" i="49"/>
  <c r="T47" i="49"/>
  <c r="U47" i="49"/>
  <c r="V47" i="49"/>
  <c r="W47" i="49"/>
  <c r="X47" i="49"/>
  <c r="Y47" i="49"/>
  <c r="Z47" i="49"/>
  <c r="AA47" i="49"/>
  <c r="AB47" i="49"/>
  <c r="AC47" i="49"/>
  <c r="AD47" i="49"/>
  <c r="AE47" i="49"/>
  <c r="AF47" i="49"/>
  <c r="AG47" i="49"/>
  <c r="AH47" i="49"/>
  <c r="AI47" i="49"/>
  <c r="AJ47" i="49"/>
  <c r="AK47" i="49"/>
  <c r="AL47" i="49"/>
  <c r="AM47" i="49"/>
  <c r="AN47" i="49"/>
  <c r="AO47" i="49"/>
  <c r="H43" i="49"/>
  <c r="I43" i="49"/>
  <c r="J43" i="49"/>
  <c r="K43" i="49"/>
  <c r="L43" i="49"/>
  <c r="M43" i="49"/>
  <c r="N43" i="49"/>
  <c r="O43" i="49"/>
  <c r="P43" i="49"/>
  <c r="Q43" i="49"/>
  <c r="R43" i="49"/>
  <c r="S43" i="49"/>
  <c r="T43" i="49"/>
  <c r="U43" i="49"/>
  <c r="V43" i="49"/>
  <c r="W43" i="49"/>
  <c r="X43" i="49"/>
  <c r="Y43" i="49"/>
  <c r="Z43" i="49"/>
  <c r="AA43" i="49"/>
  <c r="AB43" i="49"/>
  <c r="AC43" i="49"/>
  <c r="AD43" i="49"/>
  <c r="AE43" i="49"/>
  <c r="AF43" i="49"/>
  <c r="AG43" i="49"/>
  <c r="AH43" i="49"/>
  <c r="AI43" i="49"/>
  <c r="AJ43" i="49"/>
  <c r="AK43" i="49"/>
  <c r="AL43" i="49"/>
  <c r="AM43" i="49"/>
  <c r="AN43" i="49"/>
  <c r="AO43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AA35" i="49"/>
  <c r="AB35" i="49"/>
  <c r="AC35" i="49"/>
  <c r="AD35" i="49"/>
  <c r="AE35" i="49"/>
  <c r="AF35" i="49"/>
  <c r="AG35" i="49"/>
  <c r="AH35" i="49"/>
  <c r="AI35" i="49"/>
  <c r="AJ35" i="49"/>
  <c r="AK35" i="49"/>
  <c r="AL35" i="49"/>
  <c r="AM35" i="49"/>
  <c r="AN35" i="49"/>
  <c r="AO35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AA33" i="49"/>
  <c r="AB33" i="49"/>
  <c r="AC33" i="49"/>
  <c r="AD33" i="49"/>
  <c r="AE33" i="49"/>
  <c r="AF33" i="49"/>
  <c r="AG33" i="49"/>
  <c r="AH33" i="49"/>
  <c r="AI33" i="49"/>
  <c r="AJ33" i="49"/>
  <c r="AK33" i="49"/>
  <c r="AL33" i="49"/>
  <c r="AM33" i="49"/>
  <c r="AN33" i="49"/>
  <c r="AO33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AA27" i="49"/>
  <c r="AB27" i="49"/>
  <c r="AC27" i="49"/>
  <c r="AD27" i="49"/>
  <c r="AE27" i="49"/>
  <c r="AF27" i="49"/>
  <c r="AG27" i="49"/>
  <c r="AH27" i="49"/>
  <c r="AI27" i="49"/>
  <c r="AJ27" i="49"/>
  <c r="AK27" i="49"/>
  <c r="AL27" i="49"/>
  <c r="AM27" i="49"/>
  <c r="AN27" i="49"/>
  <c r="AO27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AA25" i="49"/>
  <c r="AB25" i="49"/>
  <c r="AC25" i="49"/>
  <c r="AD25" i="49"/>
  <c r="AE25" i="49"/>
  <c r="AF25" i="49"/>
  <c r="AG25" i="49"/>
  <c r="AH25" i="49"/>
  <c r="AI25" i="49"/>
  <c r="AJ25" i="49"/>
  <c r="AK25" i="49"/>
  <c r="AL25" i="49"/>
  <c r="AM25" i="49"/>
  <c r="AN25" i="49"/>
  <c r="AO25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AA23" i="49"/>
  <c r="AB23" i="49"/>
  <c r="AC23" i="49"/>
  <c r="AD23" i="49"/>
  <c r="AE23" i="49"/>
  <c r="AF23" i="49"/>
  <c r="AG23" i="49"/>
  <c r="AH23" i="49"/>
  <c r="AI23" i="49"/>
  <c r="AJ23" i="49"/>
  <c r="AK23" i="49"/>
  <c r="AL23" i="49"/>
  <c r="AM23" i="49"/>
  <c r="AN23" i="49"/>
  <c r="AO23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AA17" i="49"/>
  <c r="AB17" i="49"/>
  <c r="AC17" i="49"/>
  <c r="AD17" i="49"/>
  <c r="AE17" i="49"/>
  <c r="AF17" i="49"/>
  <c r="AG17" i="49"/>
  <c r="AH17" i="49"/>
  <c r="AI17" i="49"/>
  <c r="AJ17" i="49"/>
  <c r="AK17" i="49"/>
  <c r="AL17" i="49"/>
  <c r="AM17" i="49"/>
  <c r="AN17" i="49"/>
  <c r="AO17" i="49"/>
  <c r="F62" i="49" l="1"/>
  <c r="C62" i="49"/>
  <c r="D62" i="49" s="1"/>
  <c r="E62" i="49" s="1"/>
  <c r="F60" i="49"/>
  <c r="C60" i="49"/>
  <c r="D60" i="49" s="1"/>
  <c r="E60" i="49" s="1"/>
  <c r="F58" i="49"/>
  <c r="C58" i="49"/>
  <c r="D58" i="49" s="1"/>
  <c r="E58" i="49" s="1"/>
  <c r="F56" i="49"/>
  <c r="C56" i="49"/>
  <c r="D56" i="49" s="1"/>
  <c r="E56" i="49" s="1"/>
  <c r="F54" i="49"/>
  <c r="C54" i="49"/>
  <c r="D54" i="49" s="1"/>
  <c r="E54" i="49" s="1"/>
  <c r="F52" i="49"/>
  <c r="C52" i="49"/>
  <c r="D52" i="49" s="1"/>
  <c r="E52" i="49" s="1"/>
  <c r="F50" i="49"/>
  <c r="C50" i="49"/>
  <c r="D50" i="49" s="1"/>
  <c r="E50" i="49" s="1"/>
  <c r="F48" i="49"/>
  <c r="C48" i="49"/>
  <c r="D48" i="49" s="1"/>
  <c r="E48" i="49" s="1"/>
  <c r="F46" i="49"/>
  <c r="C46" i="49"/>
  <c r="D46" i="49" s="1"/>
  <c r="E46" i="49" s="1"/>
  <c r="F44" i="49"/>
  <c r="C44" i="49"/>
  <c r="D44" i="49" s="1"/>
  <c r="E44" i="49" s="1"/>
  <c r="F42" i="49"/>
  <c r="C42" i="49"/>
  <c r="D42" i="49" s="1"/>
  <c r="E42" i="49" s="1"/>
  <c r="F40" i="49"/>
  <c r="C40" i="49"/>
  <c r="D40" i="49" s="1"/>
  <c r="E40" i="49" s="1"/>
  <c r="F38" i="49"/>
  <c r="C38" i="49"/>
  <c r="D38" i="49" s="1"/>
  <c r="E38" i="49" s="1"/>
  <c r="F36" i="49"/>
  <c r="C36" i="49"/>
  <c r="D36" i="49" s="1"/>
  <c r="E36" i="49" s="1"/>
  <c r="F34" i="49"/>
  <c r="C34" i="49"/>
  <c r="D34" i="49" s="1"/>
  <c r="E34" i="49" s="1"/>
  <c r="F32" i="49"/>
  <c r="C32" i="49"/>
  <c r="D32" i="49" s="1"/>
  <c r="E32" i="49" s="1"/>
  <c r="F30" i="49"/>
  <c r="C30" i="49"/>
  <c r="D30" i="49" s="1"/>
  <c r="E30" i="49" s="1"/>
  <c r="F28" i="49"/>
  <c r="C28" i="49"/>
  <c r="D28" i="49" s="1"/>
  <c r="E28" i="49" s="1"/>
  <c r="F26" i="49"/>
  <c r="C26" i="49"/>
  <c r="D26" i="49" s="1"/>
  <c r="E26" i="49" s="1"/>
  <c r="F24" i="49"/>
  <c r="C24" i="49"/>
  <c r="D24" i="49" s="1"/>
  <c r="E24" i="49" s="1"/>
  <c r="F22" i="49"/>
  <c r="C22" i="49"/>
  <c r="D22" i="49" s="1"/>
  <c r="E22" i="49" s="1"/>
  <c r="F20" i="49"/>
  <c r="C20" i="49"/>
  <c r="D20" i="49" s="1"/>
  <c r="E20" i="49" s="1"/>
  <c r="F18" i="49"/>
  <c r="C18" i="49"/>
  <c r="D18" i="49" s="1"/>
  <c r="E18" i="49" s="1"/>
  <c r="F16" i="49"/>
  <c r="C16" i="49"/>
  <c r="D16" i="49" s="1"/>
  <c r="E16" i="49" s="1"/>
  <c r="F14" i="49"/>
  <c r="C14" i="49"/>
  <c r="D14" i="49" s="1"/>
  <c r="E14" i="49" s="1"/>
  <c r="F12" i="49"/>
  <c r="C12" i="49"/>
  <c r="D12" i="49" s="1"/>
  <c r="E12" i="49" s="1"/>
  <c r="F10" i="49"/>
  <c r="C10" i="49"/>
  <c r="D10" i="49" s="1"/>
  <c r="E10" i="49" s="1"/>
  <c r="F8" i="49"/>
  <c r="C8" i="49"/>
  <c r="D8" i="49" s="1"/>
  <c r="E8" i="49" s="1"/>
  <c r="F6" i="49"/>
  <c r="C6" i="49"/>
  <c r="D6" i="49" s="1"/>
  <c r="E6" i="49" s="1"/>
  <c r="F34" i="48" l="1"/>
  <c r="C34" i="48"/>
  <c r="D34" i="48" s="1"/>
  <c r="E34" i="48" s="1"/>
  <c r="F33" i="48"/>
  <c r="C33" i="48"/>
  <c r="D33" i="48" s="1"/>
  <c r="E33" i="48" s="1"/>
  <c r="F32" i="48"/>
  <c r="C32" i="48"/>
  <c r="D32" i="48" s="1"/>
  <c r="E32" i="48" s="1"/>
  <c r="F31" i="48"/>
  <c r="C31" i="48"/>
  <c r="D31" i="48" s="1"/>
  <c r="E31" i="48" s="1"/>
  <c r="F30" i="48"/>
  <c r="C30" i="48"/>
  <c r="D30" i="48" s="1"/>
  <c r="E30" i="48" s="1"/>
  <c r="F29" i="48"/>
  <c r="C29" i="48"/>
  <c r="D29" i="48" s="1"/>
  <c r="E29" i="48" s="1"/>
  <c r="F28" i="48"/>
  <c r="C28" i="48"/>
  <c r="D28" i="48" s="1"/>
  <c r="E28" i="48" s="1"/>
  <c r="F27" i="48"/>
  <c r="C27" i="48"/>
  <c r="D27" i="48" s="1"/>
  <c r="E27" i="48" s="1"/>
  <c r="F26" i="48"/>
  <c r="C26" i="48"/>
  <c r="D26" i="48" s="1"/>
  <c r="E26" i="48" s="1"/>
  <c r="F25" i="48"/>
  <c r="C25" i="48"/>
  <c r="D25" i="48" s="1"/>
  <c r="E25" i="48" s="1"/>
  <c r="F24" i="48"/>
  <c r="C24" i="48"/>
  <c r="D24" i="48" s="1"/>
  <c r="E24" i="48" s="1"/>
  <c r="F23" i="48"/>
  <c r="C23" i="48"/>
  <c r="D23" i="48" s="1"/>
  <c r="E23" i="48" s="1"/>
  <c r="F22" i="48"/>
  <c r="C22" i="48"/>
  <c r="D22" i="48" s="1"/>
  <c r="E22" i="48" s="1"/>
  <c r="F21" i="48"/>
  <c r="C21" i="48"/>
  <c r="D21" i="48" s="1"/>
  <c r="E21" i="48" s="1"/>
  <c r="F20" i="48"/>
  <c r="C20" i="48"/>
  <c r="D20" i="48" s="1"/>
  <c r="E20" i="48" s="1"/>
  <c r="F19" i="48"/>
  <c r="C19" i="48"/>
  <c r="D19" i="48" s="1"/>
  <c r="E19" i="48" s="1"/>
  <c r="F18" i="48"/>
  <c r="C18" i="48"/>
  <c r="D18" i="48" s="1"/>
  <c r="E18" i="48" s="1"/>
  <c r="F17" i="48"/>
  <c r="C17" i="48"/>
  <c r="D17" i="48" s="1"/>
  <c r="E17" i="48" s="1"/>
  <c r="F16" i="48"/>
  <c r="C16" i="48"/>
  <c r="D16" i="48" s="1"/>
  <c r="E16" i="48" s="1"/>
  <c r="F15" i="48"/>
  <c r="C15" i="48"/>
  <c r="D15" i="48" s="1"/>
  <c r="E15" i="48" s="1"/>
  <c r="F14" i="48"/>
  <c r="C14" i="48"/>
  <c r="D14" i="48" s="1"/>
  <c r="E14" i="48" s="1"/>
  <c r="F13" i="48"/>
  <c r="C13" i="48"/>
  <c r="D13" i="48" s="1"/>
  <c r="E13" i="48" s="1"/>
  <c r="F12" i="48"/>
  <c r="C12" i="48"/>
  <c r="D12" i="48" s="1"/>
  <c r="E12" i="48" s="1"/>
  <c r="F11" i="48"/>
  <c r="C11" i="48"/>
  <c r="D11" i="48" s="1"/>
  <c r="E11" i="48" s="1"/>
  <c r="F10" i="48"/>
  <c r="C10" i="48"/>
  <c r="D10" i="48" s="1"/>
  <c r="E10" i="48" s="1"/>
  <c r="F9" i="48"/>
  <c r="C9" i="48"/>
  <c r="D9" i="48" s="1"/>
  <c r="E9" i="48" s="1"/>
  <c r="F8" i="48"/>
  <c r="C8" i="48"/>
  <c r="D8" i="48" s="1"/>
  <c r="E8" i="48" s="1"/>
  <c r="F7" i="48"/>
  <c r="C7" i="48"/>
  <c r="D7" i="48" s="1"/>
  <c r="E7" i="48" s="1"/>
  <c r="F6" i="48"/>
  <c r="C6" i="48"/>
  <c r="D6" i="48" s="1"/>
  <c r="E6" i="48" s="1"/>
  <c r="C33" i="47" l="1"/>
  <c r="D33" i="47" s="1"/>
  <c r="E33" i="47" s="1"/>
  <c r="F33" i="47"/>
  <c r="C32" i="47" l="1"/>
  <c r="F32" i="47" l="1"/>
  <c r="D32" i="47"/>
  <c r="E32" i="47" s="1"/>
  <c r="F31" i="47"/>
  <c r="F30" i="47"/>
  <c r="C30" i="47"/>
  <c r="D30" i="47" s="1"/>
  <c r="E30" i="47" s="1"/>
  <c r="F29" i="47"/>
  <c r="C29" i="47"/>
  <c r="D29" i="47" s="1"/>
  <c r="E29" i="47" s="1"/>
  <c r="F28" i="47"/>
  <c r="F27" i="47"/>
  <c r="F26" i="47"/>
  <c r="F25" i="47"/>
  <c r="F24" i="47"/>
  <c r="F23" i="47"/>
  <c r="F22" i="47"/>
  <c r="F21" i="47"/>
  <c r="F20" i="47"/>
  <c r="F19" i="47"/>
  <c r="C19" i="47"/>
  <c r="D19" i="47" s="1"/>
  <c r="E19" i="47" s="1"/>
  <c r="F18" i="47"/>
  <c r="C18" i="47"/>
  <c r="D18" i="47" s="1"/>
  <c r="E18" i="47" s="1"/>
  <c r="F17" i="47"/>
  <c r="C17" i="47"/>
  <c r="D17" i="47" s="1"/>
  <c r="E17" i="47" s="1"/>
  <c r="F16" i="47"/>
  <c r="C16" i="47"/>
  <c r="D16" i="47" s="1"/>
  <c r="E16" i="47" s="1"/>
  <c r="F15" i="47"/>
  <c r="C15" i="47"/>
  <c r="D15" i="47" s="1"/>
  <c r="E15" i="47" s="1"/>
  <c r="F14" i="47"/>
  <c r="C14" i="47"/>
  <c r="D14" i="47" s="1"/>
  <c r="E14" i="47" s="1"/>
  <c r="F13" i="47"/>
  <c r="C13" i="47"/>
  <c r="D13" i="47" s="1"/>
  <c r="E13" i="47" s="1"/>
  <c r="F12" i="47"/>
  <c r="C12" i="47"/>
  <c r="D12" i="47" s="1"/>
  <c r="E12" i="47" s="1"/>
  <c r="F11" i="47"/>
  <c r="C11" i="47"/>
  <c r="D11" i="47" s="1"/>
  <c r="E11" i="47" s="1"/>
  <c r="F10" i="47"/>
  <c r="C10" i="47"/>
  <c r="D10" i="47" s="1"/>
  <c r="E10" i="47" s="1"/>
  <c r="F9" i="47"/>
  <c r="C9" i="47"/>
  <c r="D9" i="47" s="1"/>
  <c r="E9" i="47" s="1"/>
  <c r="F8" i="47"/>
  <c r="C8" i="47"/>
  <c r="D8" i="47" s="1"/>
  <c r="E8" i="47" s="1"/>
  <c r="F7" i="47"/>
  <c r="C7" i="47"/>
  <c r="F6" i="47"/>
  <c r="C6" i="47"/>
  <c r="D6" i="47" s="1"/>
  <c r="E6" i="47" s="1"/>
  <c r="D7" i="47" l="1"/>
  <c r="E7" i="47" s="1"/>
  <c r="F25" i="45"/>
  <c r="F26" i="45"/>
  <c r="F27" i="45"/>
  <c r="F28" i="45"/>
  <c r="F29" i="45"/>
  <c r="B29" i="45"/>
  <c r="B25" i="45"/>
  <c r="B26" i="45"/>
  <c r="B27" i="45"/>
  <c r="B28" i="45"/>
  <c r="B24" i="45"/>
  <c r="F133" i="45" l="1"/>
  <c r="B133" i="45"/>
  <c r="C133" i="45" s="1"/>
  <c r="D133" i="45" s="1"/>
  <c r="E133" i="45" s="1"/>
  <c r="F132" i="45"/>
  <c r="B132" i="45"/>
  <c r="C132" i="45" s="1"/>
  <c r="D132" i="45" s="1"/>
  <c r="E132" i="45" s="1"/>
  <c r="F131" i="45"/>
  <c r="B131" i="45"/>
  <c r="C131" i="45" s="1"/>
  <c r="D131" i="45" s="1"/>
  <c r="E131" i="45" s="1"/>
  <c r="F130" i="45"/>
  <c r="B130" i="45"/>
  <c r="C130" i="45" s="1"/>
  <c r="D130" i="45" s="1"/>
  <c r="E130" i="45" s="1"/>
  <c r="F129" i="45"/>
  <c r="B129" i="45"/>
  <c r="C129" i="45" s="1"/>
  <c r="D129" i="45" s="1"/>
  <c r="E129" i="45" s="1"/>
  <c r="F128" i="45"/>
  <c r="B128" i="45"/>
  <c r="C128" i="45" s="1"/>
  <c r="D128" i="45" s="1"/>
  <c r="E128" i="45" s="1"/>
  <c r="F127" i="45"/>
  <c r="B127" i="45"/>
  <c r="C127" i="45" s="1"/>
  <c r="D127" i="45" s="1"/>
  <c r="E127" i="45" s="1"/>
  <c r="F126" i="45"/>
  <c r="B126" i="45"/>
  <c r="C126" i="45" s="1"/>
  <c r="D126" i="45" s="1"/>
  <c r="E126" i="45" s="1"/>
  <c r="F125" i="45"/>
  <c r="B125" i="45"/>
  <c r="C125" i="45" s="1"/>
  <c r="D125" i="45" s="1"/>
  <c r="E125" i="45" s="1"/>
  <c r="F124" i="45"/>
  <c r="B124" i="45"/>
  <c r="C124" i="45" s="1"/>
  <c r="D124" i="45" s="1"/>
  <c r="E124" i="45" s="1"/>
  <c r="F123" i="45"/>
  <c r="B123" i="45"/>
  <c r="C123" i="45" s="1"/>
  <c r="D123" i="45" s="1"/>
  <c r="E123" i="45" s="1"/>
  <c r="F122" i="45"/>
  <c r="B122" i="45"/>
  <c r="C122" i="45" s="1"/>
  <c r="D122" i="45" s="1"/>
  <c r="E122" i="45" s="1"/>
  <c r="F121" i="45"/>
  <c r="B121" i="45"/>
  <c r="C121" i="45" s="1"/>
  <c r="D121" i="45" s="1"/>
  <c r="E121" i="45" s="1"/>
  <c r="F120" i="45"/>
  <c r="B120" i="45"/>
  <c r="C120" i="45" s="1"/>
  <c r="D120" i="45" s="1"/>
  <c r="E120" i="45" s="1"/>
  <c r="F119" i="45"/>
  <c r="B119" i="45"/>
  <c r="C119" i="45" s="1"/>
  <c r="D119" i="45" s="1"/>
  <c r="E119" i="45" s="1"/>
  <c r="F118" i="45"/>
  <c r="B118" i="45"/>
  <c r="C118" i="45" s="1"/>
  <c r="D118" i="45" s="1"/>
  <c r="E118" i="45" s="1"/>
  <c r="F117" i="45"/>
  <c r="B117" i="45"/>
  <c r="C117" i="45" s="1"/>
  <c r="D117" i="45" s="1"/>
  <c r="E117" i="45" s="1"/>
  <c r="F116" i="45"/>
  <c r="B116" i="45"/>
  <c r="C116" i="45" s="1"/>
  <c r="D116" i="45" s="1"/>
  <c r="E116" i="45" s="1"/>
  <c r="F115" i="45"/>
  <c r="B115" i="45"/>
  <c r="C115" i="45" s="1"/>
  <c r="D115" i="45" s="1"/>
  <c r="E115" i="45" s="1"/>
  <c r="F114" i="45"/>
  <c r="B114" i="45"/>
  <c r="C114" i="45" s="1"/>
  <c r="D114" i="45" s="1"/>
  <c r="E114" i="45" s="1"/>
  <c r="F113" i="45"/>
  <c r="B113" i="45"/>
  <c r="C113" i="45" s="1"/>
  <c r="D113" i="45" s="1"/>
  <c r="E113" i="45" s="1"/>
  <c r="F112" i="45"/>
  <c r="B112" i="45"/>
  <c r="C112" i="45" s="1"/>
  <c r="D112" i="45" s="1"/>
  <c r="E112" i="45" s="1"/>
  <c r="F111" i="45"/>
  <c r="B111" i="45"/>
  <c r="C111" i="45" s="1"/>
  <c r="D111" i="45" s="1"/>
  <c r="E111" i="45" s="1"/>
  <c r="F110" i="45"/>
  <c r="B110" i="45"/>
  <c r="C110" i="45" s="1"/>
  <c r="D110" i="45" s="1"/>
  <c r="E110" i="45" s="1"/>
  <c r="F109" i="45"/>
  <c r="B109" i="45"/>
  <c r="C109" i="45" s="1"/>
  <c r="D109" i="45" s="1"/>
  <c r="E109" i="45" s="1"/>
  <c r="F108" i="45"/>
  <c r="B108" i="45"/>
  <c r="C108" i="45" s="1"/>
  <c r="D108" i="45" s="1"/>
  <c r="E108" i="45" s="1"/>
  <c r="F107" i="45"/>
  <c r="B107" i="45"/>
  <c r="C107" i="45" s="1"/>
  <c r="D107" i="45" s="1"/>
  <c r="E107" i="45" s="1"/>
  <c r="F106" i="45"/>
  <c r="B106" i="45"/>
  <c r="C106" i="45" s="1"/>
  <c r="D106" i="45" s="1"/>
  <c r="E106" i="45" s="1"/>
  <c r="F105" i="45"/>
  <c r="B105" i="45"/>
  <c r="C105" i="45" s="1"/>
  <c r="D105" i="45" s="1"/>
  <c r="E105" i="45" s="1"/>
  <c r="F104" i="45"/>
  <c r="B104" i="45"/>
  <c r="C104" i="45" s="1"/>
  <c r="D104" i="45" s="1"/>
  <c r="E104" i="45" s="1"/>
  <c r="F103" i="45"/>
  <c r="B103" i="45"/>
  <c r="C103" i="45" s="1"/>
  <c r="D103" i="45" s="1"/>
  <c r="E103" i="45" s="1"/>
  <c r="F102" i="45"/>
  <c r="B102" i="45"/>
  <c r="C102" i="45" s="1"/>
  <c r="D102" i="45" s="1"/>
  <c r="E102" i="45" s="1"/>
  <c r="F101" i="45"/>
  <c r="B101" i="45"/>
  <c r="C101" i="45" s="1"/>
  <c r="D101" i="45" s="1"/>
  <c r="E101" i="45" s="1"/>
  <c r="F100" i="45"/>
  <c r="B100" i="45"/>
  <c r="C100" i="45" s="1"/>
  <c r="D100" i="45" s="1"/>
  <c r="E100" i="45" s="1"/>
  <c r="F99" i="45"/>
  <c r="B99" i="45"/>
  <c r="C99" i="45" s="1"/>
  <c r="D99" i="45" s="1"/>
  <c r="E99" i="45" s="1"/>
  <c r="F98" i="45"/>
  <c r="B98" i="45"/>
  <c r="C98" i="45" s="1"/>
  <c r="D98" i="45" s="1"/>
  <c r="E98" i="45" s="1"/>
  <c r="F97" i="45"/>
  <c r="B97" i="45"/>
  <c r="C97" i="45" s="1"/>
  <c r="D97" i="45" s="1"/>
  <c r="E97" i="45" s="1"/>
  <c r="F96" i="45"/>
  <c r="B96" i="45"/>
  <c r="C96" i="45" s="1"/>
  <c r="D96" i="45" s="1"/>
  <c r="E96" i="45" s="1"/>
  <c r="F95" i="45"/>
  <c r="B95" i="45"/>
  <c r="C95" i="45" s="1"/>
  <c r="D95" i="45" s="1"/>
  <c r="E95" i="45" s="1"/>
  <c r="F94" i="45"/>
  <c r="B94" i="45"/>
  <c r="C94" i="45" s="1"/>
  <c r="D94" i="45" s="1"/>
  <c r="E94" i="45" s="1"/>
  <c r="F93" i="45"/>
  <c r="B93" i="45"/>
  <c r="C93" i="45" s="1"/>
  <c r="D93" i="45" s="1"/>
  <c r="E93" i="45" s="1"/>
  <c r="F92" i="45"/>
  <c r="B92" i="45"/>
  <c r="C92" i="45" s="1"/>
  <c r="D92" i="45" s="1"/>
  <c r="E92" i="45" s="1"/>
  <c r="F91" i="45"/>
  <c r="B91" i="45"/>
  <c r="C91" i="45" s="1"/>
  <c r="D91" i="45" s="1"/>
  <c r="E91" i="45" s="1"/>
  <c r="F90" i="45"/>
  <c r="B90" i="45"/>
  <c r="C90" i="45" s="1"/>
  <c r="D90" i="45" s="1"/>
  <c r="E90" i="45" s="1"/>
  <c r="F89" i="45"/>
  <c r="B89" i="45"/>
  <c r="C89" i="45" s="1"/>
  <c r="D89" i="45" s="1"/>
  <c r="E89" i="45" s="1"/>
  <c r="F88" i="45"/>
  <c r="B88" i="45"/>
  <c r="C88" i="45" s="1"/>
  <c r="D88" i="45" s="1"/>
  <c r="E88" i="45" s="1"/>
  <c r="F87" i="45"/>
  <c r="B87" i="45"/>
  <c r="C87" i="45" s="1"/>
  <c r="D87" i="45" s="1"/>
  <c r="E87" i="45" s="1"/>
  <c r="F86" i="45"/>
  <c r="B86" i="45"/>
  <c r="C86" i="45" s="1"/>
  <c r="D86" i="45" s="1"/>
  <c r="E86" i="45" s="1"/>
  <c r="F85" i="45"/>
  <c r="B85" i="45"/>
  <c r="C85" i="45" s="1"/>
  <c r="D85" i="45" s="1"/>
  <c r="E85" i="45" s="1"/>
  <c r="F84" i="45"/>
  <c r="B84" i="45"/>
  <c r="C84" i="45" s="1"/>
  <c r="D84" i="45" s="1"/>
  <c r="E84" i="45" s="1"/>
  <c r="F83" i="45"/>
  <c r="B83" i="45"/>
  <c r="C83" i="45" s="1"/>
  <c r="D83" i="45" s="1"/>
  <c r="E83" i="45" s="1"/>
  <c r="F82" i="45"/>
  <c r="B82" i="45"/>
  <c r="C82" i="45" s="1"/>
  <c r="D82" i="45" s="1"/>
  <c r="E82" i="45" s="1"/>
  <c r="F81" i="45"/>
  <c r="B81" i="45"/>
  <c r="C81" i="45" s="1"/>
  <c r="D81" i="45" s="1"/>
  <c r="E81" i="45" s="1"/>
  <c r="F80" i="45"/>
  <c r="B80" i="45"/>
  <c r="C80" i="45" s="1"/>
  <c r="D80" i="45" s="1"/>
  <c r="E80" i="45" s="1"/>
  <c r="F79" i="45"/>
  <c r="B79" i="45"/>
  <c r="C79" i="45" s="1"/>
  <c r="D79" i="45" s="1"/>
  <c r="E79" i="45" s="1"/>
  <c r="F78" i="45"/>
  <c r="B78" i="45"/>
  <c r="C78" i="45" s="1"/>
  <c r="D78" i="45" s="1"/>
  <c r="E78" i="45" s="1"/>
  <c r="F77" i="45"/>
  <c r="B77" i="45"/>
  <c r="C77" i="45" s="1"/>
  <c r="D77" i="45" s="1"/>
  <c r="E77" i="45" s="1"/>
  <c r="F76" i="45"/>
  <c r="B76" i="45"/>
  <c r="C76" i="45" s="1"/>
  <c r="D76" i="45" s="1"/>
  <c r="E76" i="45" s="1"/>
  <c r="F75" i="45"/>
  <c r="B75" i="45"/>
  <c r="C75" i="45" s="1"/>
  <c r="D75" i="45" s="1"/>
  <c r="E75" i="45" s="1"/>
  <c r="F74" i="45"/>
  <c r="B74" i="45"/>
  <c r="C74" i="45" s="1"/>
  <c r="D74" i="45" s="1"/>
  <c r="E74" i="45" s="1"/>
  <c r="F73" i="45"/>
  <c r="B73" i="45"/>
  <c r="C73" i="45" s="1"/>
  <c r="D73" i="45" s="1"/>
  <c r="E73" i="45" s="1"/>
  <c r="F72" i="45"/>
  <c r="B72" i="45"/>
  <c r="C72" i="45" s="1"/>
  <c r="D72" i="45" s="1"/>
  <c r="E72" i="45" s="1"/>
  <c r="F71" i="45"/>
  <c r="B71" i="45"/>
  <c r="C71" i="45" s="1"/>
  <c r="D71" i="45" s="1"/>
  <c r="E71" i="45" s="1"/>
  <c r="F70" i="45"/>
  <c r="B70" i="45"/>
  <c r="C70" i="45" s="1"/>
  <c r="D70" i="45" s="1"/>
  <c r="E70" i="45" s="1"/>
  <c r="F69" i="45"/>
  <c r="B69" i="45"/>
  <c r="C69" i="45" s="1"/>
  <c r="D69" i="45" s="1"/>
  <c r="E69" i="45" s="1"/>
  <c r="F68" i="45"/>
  <c r="B68" i="45"/>
  <c r="C68" i="45" s="1"/>
  <c r="D68" i="45" s="1"/>
  <c r="E68" i="45" s="1"/>
  <c r="F67" i="45"/>
  <c r="B67" i="45"/>
  <c r="C67" i="45" s="1"/>
  <c r="D67" i="45" s="1"/>
  <c r="E67" i="45" s="1"/>
  <c r="F66" i="45"/>
  <c r="B66" i="45"/>
  <c r="C66" i="45" s="1"/>
  <c r="D66" i="45" s="1"/>
  <c r="E66" i="45" s="1"/>
  <c r="F65" i="45"/>
  <c r="B65" i="45"/>
  <c r="C65" i="45" s="1"/>
  <c r="D65" i="45" s="1"/>
  <c r="E65" i="45" s="1"/>
  <c r="F64" i="45"/>
  <c r="B64" i="45"/>
  <c r="C64" i="45" s="1"/>
  <c r="D64" i="45" s="1"/>
  <c r="E64" i="45" s="1"/>
  <c r="F63" i="45"/>
  <c r="B63" i="45"/>
  <c r="C63" i="45" s="1"/>
  <c r="D63" i="45" s="1"/>
  <c r="E63" i="45" s="1"/>
  <c r="F62" i="45"/>
  <c r="B62" i="45"/>
  <c r="C62" i="45" s="1"/>
  <c r="D62" i="45" s="1"/>
  <c r="E62" i="45" s="1"/>
  <c r="F61" i="45"/>
  <c r="B61" i="45"/>
  <c r="C61" i="45" s="1"/>
  <c r="D61" i="45" s="1"/>
  <c r="E61" i="45" s="1"/>
  <c r="F60" i="45"/>
  <c r="B60" i="45"/>
  <c r="C60" i="45" s="1"/>
  <c r="D60" i="45" s="1"/>
  <c r="E60" i="45" s="1"/>
  <c r="F59" i="45"/>
  <c r="B59" i="45"/>
  <c r="C59" i="45" s="1"/>
  <c r="D59" i="45" s="1"/>
  <c r="E59" i="45" s="1"/>
  <c r="F58" i="45"/>
  <c r="B58" i="45"/>
  <c r="C58" i="45" s="1"/>
  <c r="D58" i="45" s="1"/>
  <c r="E58" i="45" s="1"/>
  <c r="F57" i="45"/>
  <c r="B57" i="45"/>
  <c r="C57" i="45" s="1"/>
  <c r="D57" i="45" s="1"/>
  <c r="E57" i="45" s="1"/>
  <c r="F56" i="45"/>
  <c r="B56" i="45"/>
  <c r="C56" i="45" s="1"/>
  <c r="D56" i="45" s="1"/>
  <c r="E56" i="45" s="1"/>
  <c r="F55" i="45"/>
  <c r="B55" i="45"/>
  <c r="C55" i="45" s="1"/>
  <c r="D55" i="45" s="1"/>
  <c r="E55" i="45" s="1"/>
  <c r="F54" i="45"/>
  <c r="B54" i="45"/>
  <c r="C54" i="45" s="1"/>
  <c r="D54" i="45" s="1"/>
  <c r="E54" i="45" s="1"/>
  <c r="F53" i="45"/>
  <c r="B53" i="45"/>
  <c r="C53" i="45" s="1"/>
  <c r="D53" i="45" s="1"/>
  <c r="E53" i="45" s="1"/>
  <c r="F52" i="45"/>
  <c r="B52" i="45"/>
  <c r="C52" i="45" s="1"/>
  <c r="D52" i="45" s="1"/>
  <c r="E52" i="45" s="1"/>
  <c r="F51" i="45"/>
  <c r="B51" i="45"/>
  <c r="C51" i="45" s="1"/>
  <c r="D51" i="45" s="1"/>
  <c r="E51" i="45" s="1"/>
  <c r="F50" i="45"/>
  <c r="B50" i="45"/>
  <c r="C50" i="45" s="1"/>
  <c r="D50" i="45" s="1"/>
  <c r="E50" i="45" s="1"/>
  <c r="F49" i="45"/>
  <c r="B49" i="45"/>
  <c r="C49" i="45" s="1"/>
  <c r="D49" i="45" s="1"/>
  <c r="E49" i="45" s="1"/>
  <c r="F48" i="45"/>
  <c r="B48" i="45"/>
  <c r="C48" i="45" s="1"/>
  <c r="D48" i="45" s="1"/>
  <c r="E48" i="45" s="1"/>
  <c r="F47" i="45"/>
  <c r="B47" i="45"/>
  <c r="C47" i="45" s="1"/>
  <c r="D47" i="45" s="1"/>
  <c r="E47" i="45" s="1"/>
  <c r="F46" i="45"/>
  <c r="B46" i="45"/>
  <c r="C46" i="45" s="1"/>
  <c r="D46" i="45" s="1"/>
  <c r="E46" i="45" s="1"/>
  <c r="F45" i="45"/>
  <c r="B45" i="45"/>
  <c r="C45" i="45" s="1"/>
  <c r="D45" i="45" s="1"/>
  <c r="E45" i="45" s="1"/>
  <c r="F44" i="45"/>
  <c r="B44" i="45"/>
  <c r="C44" i="45" s="1"/>
  <c r="D44" i="45" s="1"/>
  <c r="E44" i="45" s="1"/>
  <c r="F43" i="45"/>
  <c r="B43" i="45"/>
  <c r="C43" i="45" s="1"/>
  <c r="D43" i="45" s="1"/>
  <c r="E43" i="45" s="1"/>
  <c r="F42" i="45"/>
  <c r="B42" i="45"/>
  <c r="C42" i="45" s="1"/>
  <c r="D42" i="45" s="1"/>
  <c r="E42" i="45" s="1"/>
  <c r="F41" i="45"/>
  <c r="B41" i="45"/>
  <c r="C41" i="45" s="1"/>
  <c r="D41" i="45" s="1"/>
  <c r="E41" i="45" s="1"/>
  <c r="F40" i="45"/>
  <c r="B40" i="45"/>
  <c r="C40" i="45" s="1"/>
  <c r="D40" i="45" s="1"/>
  <c r="E40" i="45" s="1"/>
  <c r="F39" i="45"/>
  <c r="B39" i="45"/>
  <c r="C39" i="45" s="1"/>
  <c r="D39" i="45" s="1"/>
  <c r="E39" i="45" s="1"/>
  <c r="F38" i="45"/>
  <c r="B38" i="45"/>
  <c r="C38" i="45" s="1"/>
  <c r="D38" i="45" s="1"/>
  <c r="E38" i="45" s="1"/>
  <c r="F37" i="45"/>
  <c r="B37" i="45"/>
  <c r="C37" i="45" s="1"/>
  <c r="D37" i="45" s="1"/>
  <c r="E37" i="45" s="1"/>
  <c r="F36" i="45"/>
  <c r="B36" i="45"/>
  <c r="C36" i="45" s="1"/>
  <c r="D36" i="45" s="1"/>
  <c r="E36" i="45" s="1"/>
  <c r="F35" i="45"/>
  <c r="B35" i="45"/>
  <c r="C35" i="45" s="1"/>
  <c r="D35" i="45" s="1"/>
  <c r="E35" i="45" s="1"/>
  <c r="F34" i="45"/>
  <c r="B34" i="45"/>
  <c r="C34" i="45" s="1"/>
  <c r="D34" i="45" s="1"/>
  <c r="E34" i="45" s="1"/>
  <c r="F33" i="45"/>
  <c r="B33" i="45"/>
  <c r="C33" i="45" s="1"/>
  <c r="D33" i="45" s="1"/>
  <c r="E33" i="45" s="1"/>
  <c r="F32" i="45"/>
  <c r="B32" i="45"/>
  <c r="C32" i="45" s="1"/>
  <c r="D32" i="45" s="1"/>
  <c r="E32" i="45" s="1"/>
  <c r="F31" i="45"/>
  <c r="B31" i="45"/>
  <c r="C31" i="45" s="1"/>
  <c r="D31" i="45" s="1"/>
  <c r="E31" i="45" s="1"/>
  <c r="F30" i="45"/>
  <c r="B30" i="45"/>
  <c r="C30" i="45" s="1"/>
  <c r="D30" i="45" s="1"/>
  <c r="E30" i="45" s="1"/>
  <c r="F24" i="45"/>
  <c r="F23" i="45"/>
  <c r="B23" i="45"/>
  <c r="F22" i="45"/>
  <c r="B22" i="45"/>
  <c r="F21" i="45"/>
  <c r="B21" i="45"/>
  <c r="F20" i="45"/>
  <c r="B20" i="45"/>
  <c r="C20" i="45" s="1"/>
  <c r="D20" i="45" s="1"/>
  <c r="E20" i="45" s="1"/>
  <c r="F19" i="45"/>
  <c r="B19" i="45"/>
  <c r="C19" i="45" s="1"/>
  <c r="D19" i="45" s="1"/>
  <c r="E19" i="45" s="1"/>
  <c r="F18" i="45"/>
  <c r="B18" i="45"/>
  <c r="C18" i="45" s="1"/>
  <c r="D18" i="45" s="1"/>
  <c r="E18" i="45" s="1"/>
  <c r="F17" i="45"/>
  <c r="B17" i="45"/>
  <c r="C17" i="45" s="1"/>
  <c r="D17" i="45" s="1"/>
  <c r="E17" i="45" s="1"/>
  <c r="F16" i="45"/>
  <c r="B16" i="45"/>
  <c r="C16" i="45" s="1"/>
  <c r="D16" i="45" s="1"/>
  <c r="E16" i="45" s="1"/>
  <c r="F15" i="45"/>
  <c r="B15" i="45"/>
  <c r="C15" i="45" s="1"/>
  <c r="D15" i="45" s="1"/>
  <c r="E15" i="45" s="1"/>
  <c r="F14" i="45"/>
  <c r="B14" i="45"/>
  <c r="C14" i="45" s="1"/>
  <c r="D14" i="45" s="1"/>
  <c r="E14" i="45" s="1"/>
  <c r="F13" i="45"/>
  <c r="B13" i="45"/>
  <c r="C13" i="45" s="1"/>
  <c r="D13" i="45" s="1"/>
  <c r="E13" i="45" s="1"/>
  <c r="F12" i="45"/>
  <c r="B12" i="45"/>
  <c r="C12" i="45" s="1"/>
  <c r="D12" i="45" s="1"/>
  <c r="E12" i="45" s="1"/>
  <c r="F11" i="45"/>
  <c r="B11" i="45"/>
  <c r="C11" i="45" s="1"/>
  <c r="D11" i="45" s="1"/>
  <c r="E11" i="45" s="1"/>
  <c r="F10" i="45"/>
  <c r="B10" i="45"/>
  <c r="C10" i="45" s="1"/>
  <c r="D10" i="45" s="1"/>
  <c r="E10" i="45" s="1"/>
  <c r="F9" i="45"/>
  <c r="B9" i="45"/>
  <c r="C9" i="45" s="1"/>
  <c r="D9" i="45" s="1"/>
  <c r="E9" i="45" s="1"/>
  <c r="F8" i="45"/>
  <c r="B8" i="45"/>
  <c r="C8" i="45" s="1"/>
  <c r="D8" i="45" s="1"/>
  <c r="E8" i="45" s="1"/>
  <c r="F7" i="45"/>
  <c r="B7" i="45"/>
  <c r="C7" i="45" s="1"/>
  <c r="D7" i="45" s="1"/>
  <c r="E7" i="45" s="1"/>
  <c r="F6" i="45"/>
  <c r="B6" i="45"/>
  <c r="C6" i="45" s="1"/>
  <c r="D6" i="45" s="1"/>
  <c r="E6" i="45" s="1"/>
  <c r="C22" i="45" l="1"/>
  <c r="D22" i="45" s="1"/>
  <c r="E22" i="45" s="1"/>
  <c r="C22" i="47"/>
  <c r="D22" i="47" s="1"/>
  <c r="E22" i="47" s="1"/>
  <c r="C23" i="47"/>
  <c r="D23" i="47" s="1"/>
  <c r="E23" i="47" s="1"/>
  <c r="C25" i="47"/>
  <c r="D25" i="47" s="1"/>
  <c r="E25" i="47" s="1"/>
  <c r="C27" i="47"/>
  <c r="D27" i="47" s="1"/>
  <c r="E27" i="47" s="1"/>
  <c r="C24" i="47"/>
  <c r="D24" i="47" s="1"/>
  <c r="E24" i="47" s="1"/>
  <c r="C28" i="47"/>
  <c r="D28" i="47" s="1"/>
  <c r="E28" i="47" s="1"/>
  <c r="C26" i="47"/>
  <c r="D26" i="47" s="1"/>
  <c r="E26" i="47" s="1"/>
  <c r="C21" i="47"/>
  <c r="D21" i="47" s="1"/>
  <c r="E21" i="47" s="1"/>
  <c r="C20" i="47"/>
  <c r="D20" i="47" s="1"/>
  <c r="E20" i="47" s="1"/>
  <c r="C24" i="45"/>
  <c r="D24" i="45" s="1"/>
  <c r="E24" i="45" s="1"/>
  <c r="C29" i="45"/>
  <c r="D29" i="45" s="1"/>
  <c r="E29" i="45" s="1"/>
  <c r="C27" i="45"/>
  <c r="D27" i="45" s="1"/>
  <c r="E27" i="45" s="1"/>
  <c r="C26" i="45"/>
  <c r="D26" i="45" s="1"/>
  <c r="E26" i="45" s="1"/>
  <c r="C25" i="45"/>
  <c r="D25" i="45" s="1"/>
  <c r="E25" i="45" s="1"/>
  <c r="C28" i="45"/>
  <c r="D28" i="45" s="1"/>
  <c r="E28" i="45" s="1"/>
  <c r="C21" i="45"/>
  <c r="D21" i="45" s="1"/>
  <c r="E21" i="45" s="1"/>
  <c r="C31" i="47"/>
  <c r="D31" i="47" s="1"/>
  <c r="E31" i="47" s="1"/>
  <c r="C23" i="45"/>
  <c r="D23" i="45" s="1"/>
  <c r="E23" i="45" s="1"/>
</calcChain>
</file>

<file path=xl/comments1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2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3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4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5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6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7.xml><?xml version="1.0" encoding="utf-8"?>
<comments xmlns="http://schemas.openxmlformats.org/spreadsheetml/2006/main">
  <authors>
    <author>Поляков Максим Юрьевич</author>
  </authors>
  <commentList>
    <comment ref="AR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8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9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0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1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2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3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4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5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comments16.xml><?xml version="1.0" encoding="utf-8"?>
<comments xmlns="http://schemas.openxmlformats.org/spreadsheetml/2006/main">
  <authors>
    <author>Поляков Максим Юрьевич</author>
  </authors>
  <commentList>
    <comment ref="AS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Поляков Максим Юрьевич:</t>
        </r>
        <r>
          <rPr>
            <sz val="9"/>
            <color indexed="81"/>
            <rFont val="Tahoma"/>
            <family val="2"/>
            <charset val="204"/>
          </rPr>
          <t xml:space="preserve">
Примеры договоров</t>
        </r>
      </text>
    </comment>
  </commentList>
</comments>
</file>

<file path=xl/sharedStrings.xml><?xml version="1.0" encoding="utf-8"?>
<sst xmlns="http://schemas.openxmlformats.org/spreadsheetml/2006/main" count="1658" uniqueCount="281">
  <si>
    <t>Подразделение:</t>
  </si>
  <si>
    <t>ФИО сотрудника</t>
  </si>
  <si>
    <t>Табельный номер</t>
  </si>
  <si>
    <t>КТ</t>
  </si>
  <si>
    <t>СБТ</t>
  </si>
  <si>
    <t>ЦЕ</t>
  </si>
  <si>
    <t>Капмус ОЦ</t>
  </si>
  <si>
    <t>ПЛ Школа</t>
  </si>
  <si>
    <t>ПЛ ДДУ</t>
  </si>
  <si>
    <t>ПЛ Бассейн</t>
  </si>
  <si>
    <t>ПНиИ</t>
  </si>
  <si>
    <t>Планетарий</t>
  </si>
  <si>
    <t>Концертный</t>
  </si>
  <si>
    <t>Парусная</t>
  </si>
  <si>
    <t>РЖД</t>
  </si>
  <si>
    <t>часы работы на объектах</t>
  </si>
  <si>
    <t>Айсберг и ТА</t>
  </si>
  <si>
    <t>МЛАХ и ТА</t>
  </si>
  <si>
    <t>Корпус Спорт ОЦ</t>
  </si>
  <si>
    <t>Корпус Школа ОЦ</t>
  </si>
  <si>
    <t>Международная, 10 (Лицей)</t>
  </si>
  <si>
    <t>Админ. здания ОП</t>
  </si>
  <si>
    <t>Квартиры Худякова</t>
  </si>
  <si>
    <t>Квартиры Эстонская</t>
  </si>
  <si>
    <t>Олимп. Парк</t>
  </si>
  <si>
    <t>Инженер по лифтовому оборудованию</t>
  </si>
  <si>
    <t>Ведущий инженер-энергетик</t>
  </si>
  <si>
    <t>Дельта</t>
  </si>
  <si>
    <t>Омега</t>
  </si>
  <si>
    <t>Гамма</t>
  </si>
  <si>
    <t>Сигма А</t>
  </si>
  <si>
    <t>Сигма Б,В,Г</t>
  </si>
  <si>
    <t>Хостел S</t>
  </si>
  <si>
    <t>Русские сезоны</t>
  </si>
  <si>
    <t>Всего отработано часов в смену</t>
  </si>
  <si>
    <t>№ п.п.</t>
  </si>
  <si>
    <t>Инженер-сметчик</t>
  </si>
  <si>
    <t>Специалист</t>
  </si>
  <si>
    <t>Специалист по планированию</t>
  </si>
  <si>
    <t>Главный инженер объекта</t>
  </si>
  <si>
    <t>Ведущий инженер по технической документации</t>
  </si>
  <si>
    <t>Ведущий специалист по планированию</t>
  </si>
  <si>
    <t>Главный энергетик ДУГ</t>
  </si>
  <si>
    <t>Специалист по ремонту</t>
  </si>
  <si>
    <t>Ведущий инженер по обслуживанию и ремонту технологического оборудования</t>
  </si>
  <si>
    <t>Ведущий инженер по эксплуатации</t>
  </si>
  <si>
    <t>Дежурный инженер</t>
  </si>
  <si>
    <t>Ведущий инженер по водоснабжению и канализации</t>
  </si>
  <si>
    <t>Рабочий по обслуживанию зданий</t>
  </si>
  <si>
    <t>Электрогазосварщик</t>
  </si>
  <si>
    <t>Техник по обслуживанию зданий</t>
  </si>
  <si>
    <t>Специалист КИПиА</t>
  </si>
  <si>
    <t>Директор департамента</t>
  </si>
  <si>
    <t>Начальник отдела по эксплуатации объектов</t>
  </si>
  <si>
    <t>Заместитель главного инженера</t>
  </si>
  <si>
    <t>Главный инженер</t>
  </si>
  <si>
    <t>Старший инженер по эксплуатации</t>
  </si>
  <si>
    <t>Специалист по лифтовому оборудованию</t>
  </si>
  <si>
    <t>Специалист по эксплуатации и обслуживанию электрических сетей и оборудования</t>
  </si>
  <si>
    <t>Ведущий инженер</t>
  </si>
  <si>
    <t>Специалист по эксплуатации и обслуживанию электрических сетей и КИПиА</t>
  </si>
  <si>
    <t>Механик по обслуживанию и ремонту технологического оборудования</t>
  </si>
  <si>
    <t>Специалист по комплексному обслуживанию зданий</t>
  </si>
  <si>
    <t>Механик по холодильному и технологическому оборудованию</t>
  </si>
  <si>
    <t>Ведущий инженер отопления, водоснабжения, водоотведения и канализации</t>
  </si>
  <si>
    <t>Ведущий инженер по эксплуатации бассейнов</t>
  </si>
  <si>
    <t>Начальник лаборатории</t>
  </si>
  <si>
    <t>Специалист по технической документации</t>
  </si>
  <si>
    <t>Старший диспетчер</t>
  </si>
  <si>
    <t>ИТС / Отдел главного энергетика</t>
  </si>
  <si>
    <t xml:space="preserve">ИТС / Отдел главного технолога </t>
  </si>
  <si>
    <t>ИТС / Отдел по эксплуатации инфраструкткрных объектов</t>
  </si>
  <si>
    <t>Служба эксплуатации Кампус / Диспетчерская группа</t>
  </si>
  <si>
    <t xml:space="preserve">Служба эксплуатации Кампус / Отдел по эксплуатации </t>
  </si>
  <si>
    <t>Служба эксплуатации ПНиИ / Диспетчерская группа</t>
  </si>
  <si>
    <t>Служба эксплуатации ПНиИ / Отдел по эксплуатации лабораторного комплекса</t>
  </si>
  <si>
    <t>Производственно-технический отдел</t>
  </si>
  <si>
    <t>Служба эксплуатации ПНиИ / Отдел по эксплуатации</t>
  </si>
  <si>
    <t>Административно-хозяйственный отдел</t>
  </si>
  <si>
    <t>Отдел материально-технического обеспечения</t>
  </si>
  <si>
    <t>ИТС / Отдел по обслуживанию объектов</t>
  </si>
  <si>
    <t>ИТС / Отдел по подготовке льда и трансформации арен</t>
  </si>
  <si>
    <t>ИТС / Отдел по подготовке льда и спортивных сооружений</t>
  </si>
  <si>
    <t>Центральная служба</t>
  </si>
  <si>
    <t>Департамент эксплуатации спортивных объектов</t>
  </si>
  <si>
    <t>Служба содержания прилегающей территории</t>
  </si>
  <si>
    <t>Департамент управления гостиницами</t>
  </si>
  <si>
    <t>Сириус Арена</t>
  </si>
  <si>
    <t>Спортивный Парк</t>
  </si>
  <si>
    <t>Спец Объект</t>
  </si>
  <si>
    <t>Спец 
Объект</t>
  </si>
  <si>
    <t>Капмус 
ОЦ</t>
  </si>
  <si>
    <t>Должность:</t>
  </si>
  <si>
    <t>ФИО сотрудника:</t>
  </si>
  <si>
    <t>Табельный номер:</t>
  </si>
  <si>
    <t>Всего рабочих часов в смену:</t>
  </si>
  <si>
    <t>Подпись сотрудника</t>
  </si>
  <si>
    <t>Дата заполнения:</t>
  </si>
  <si>
    <t>(ФИО)</t>
  </si>
  <si>
    <t>Подпись руководителя подразделения</t>
  </si>
  <si>
    <t>можно распечатать с наименованием, можно очистить поля</t>
  </si>
  <si>
    <t xml:space="preserve">Всего: </t>
  </si>
  <si>
    <t>указать месяц</t>
  </si>
  <si>
    <t>всего за месяц:</t>
  </si>
  <si>
    <t>ФОРМА РЕКОМЕНДУЕМАЯ К ЗАПОЛНЕНИЮ ЗА ОДИН ДЕНЬ</t>
  </si>
  <si>
    <t>ФОРМА К ЗАПОЛНЕНИЮ ЗА МЕСЯЦ - ОБЯЗАТЕЛЬНАЯ !!!</t>
  </si>
  <si>
    <t>ПОДПИСИ ОБЯЗАТЕЛЬНЫ</t>
  </si>
  <si>
    <t>месяц:</t>
  </si>
  <si>
    <r>
      <t xml:space="preserve">Подразделение 
</t>
    </r>
    <r>
      <rPr>
        <sz val="11"/>
        <color rgb="FFC00000"/>
        <rFont val="Calibri"/>
        <family val="2"/>
        <charset val="204"/>
        <scheme val="minor"/>
      </rPr>
      <t>(выбрать из списка)</t>
    </r>
  </si>
  <si>
    <r>
      <t xml:space="preserve">Должность
</t>
    </r>
    <r>
      <rPr>
        <sz val="11"/>
        <color rgb="FFC00000"/>
        <rFont val="Calibri"/>
        <family val="2"/>
        <charset val="204"/>
        <scheme val="minor"/>
      </rPr>
      <t>(выбрать из списка)</t>
    </r>
  </si>
  <si>
    <r>
      <t xml:space="preserve">ФИО сотрудника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</si>
  <si>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r>
      <t xml:space="preserve">Должность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</si>
  <si>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r>
      <t xml:space="preserve">Подразделение 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</si>
  <si>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</si>
  <si>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</si>
  <si>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</si>
  <si>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</si>
  <si>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</si>
  <si>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</si>
  <si>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</si>
  <si>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</si>
  <si>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</si>
  <si>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</si>
  <si>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</si>
  <si>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</si>
  <si>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rPr>
        <b/>
        <sz val="11"/>
        <color rgb="FFFF0000"/>
        <rFont val="Calibri"/>
        <family val="2"/>
        <charset val="204"/>
        <scheme val="minor"/>
      </rPr>
      <t>ДАННЫЕ СОТРУДНИКОВ ЗАПОЛНЯТЬ НА ЭТОМ ЛИСТЕ</t>
    </r>
    <r>
      <rPr>
        <sz val="11"/>
        <color rgb="FFFF0000"/>
        <rFont val="Calibri"/>
        <family val="2"/>
        <charset val="204"/>
        <scheme val="minor"/>
      </rPr>
      <t xml:space="preserve"> (В ЛИСТАХ ПО ДНЯМ ТОЛЬКО ВЫБИРАТЬ ИЗ ВЫПАДАЮЩЕГО СПИСКА ТАБЕЛЬНЫЙ НОМЕР)</t>
    </r>
  </si>
  <si>
    <r>
      <t xml:space="preserve">Табельный номер
</t>
    </r>
    <r>
      <rPr>
        <sz val="11"/>
        <color rgb="FFC00000"/>
        <rFont val="Calibri"/>
        <family val="2"/>
        <charset val="204"/>
        <scheme val="minor"/>
      </rPr>
      <t>(автозаполнение)</t>
    </r>
  </si>
  <si>
    <t>Специалист по делопроизводству</t>
  </si>
  <si>
    <t>Начальник отдела</t>
  </si>
  <si>
    <t>Ведущий специалист по технической документации</t>
  </si>
  <si>
    <t>Ведущий инженер-сметчик</t>
  </si>
  <si>
    <t>Ведущий инженер по лифтовому оборудованию и грузоподъемным механизмам</t>
  </si>
  <si>
    <t>Главный энергетик</t>
  </si>
  <si>
    <t>Ведущий инженер АСУТП</t>
  </si>
  <si>
    <t>Ведущий инженер по энергоресурсам</t>
  </si>
  <si>
    <t>Инженер-метролог</t>
  </si>
  <si>
    <t>Ведущий инженер ДГУ</t>
  </si>
  <si>
    <t>Машинист ДГУ</t>
  </si>
  <si>
    <t>Главный технолог</t>
  </si>
  <si>
    <t>Инженер по водоподготовке</t>
  </si>
  <si>
    <t>Механик холодильных установок ледовых арен</t>
  </si>
  <si>
    <t>Специалист по комплексному обслуживанию ледовых арен</t>
  </si>
  <si>
    <t>Заместитель главного технолога</t>
  </si>
  <si>
    <t>Ведущий инженер-технолог</t>
  </si>
  <si>
    <t>ИТС / Отдел главного технолога/Группа "Спортивный комплекс"</t>
  </si>
  <si>
    <t>Специалист ремонтной мастерской</t>
  </si>
  <si>
    <t>Ведущий инженер по общестроительным работам</t>
  </si>
  <si>
    <t>Инженер по подготовке льда и обслуживанию арен</t>
  </si>
  <si>
    <t>Помощник специалиста по подготовке льда и обслуживанию арен</t>
  </si>
  <si>
    <t>Специалист по подготовке льда и обслуживанию арен</t>
  </si>
  <si>
    <t>Специалист по подготовке льда и обслуживанию желоба</t>
  </si>
  <si>
    <t>Ремонтировщик плоскостных спортивных сооружений 4 разряда</t>
  </si>
  <si>
    <t>Ведущий специалист по подготовке льда и обслуживанию желоба</t>
  </si>
  <si>
    <t>ИТС / Отдел по подготовке льда и спортивных сооружений/Группа по организации и проведению спортивных мероприятий</t>
  </si>
  <si>
    <t>Руководитель группы</t>
  </si>
  <si>
    <t>ИТС / Отдел по подготовке льда и спортивных сооружений/Группа хронометража</t>
  </si>
  <si>
    <t>ИТС / Диспетчерский отдел/Группа горного спортивного кластера</t>
  </si>
  <si>
    <t>Специалист по обслуживанию спортивного оборудования</t>
  </si>
  <si>
    <t>Старший администратор</t>
  </si>
  <si>
    <t>Инструктор</t>
  </si>
  <si>
    <t>Администратор-кассир</t>
  </si>
  <si>
    <t>Контролер</t>
  </si>
  <si>
    <t>Заточник</t>
  </si>
  <si>
    <t>Операционный управляющий спортивными объектами</t>
  </si>
  <si>
    <t>Специалист спортивной арены</t>
  </si>
  <si>
    <t>Специалист объекта</t>
  </si>
  <si>
    <t>Заместитель операционного управляющего спортивными объектами</t>
  </si>
  <si>
    <t>Главный специалист</t>
  </si>
  <si>
    <t>ИТС</t>
  </si>
  <si>
    <t>Заместитель главного энергетика</t>
  </si>
  <si>
    <t>Специалист кладовщик</t>
  </si>
  <si>
    <t>Заместитель технического директора</t>
  </si>
  <si>
    <t>Технический директор</t>
  </si>
  <si>
    <t>Руководитель эксплуатации объектов</t>
  </si>
  <si>
    <t>Ведущий инженер по эксплуатации лабораторного комплекса</t>
  </si>
  <si>
    <t>ЦС</t>
  </si>
  <si>
    <t>Академия Единоборств (ЦПС)</t>
  </si>
  <si>
    <t>Академия Единоборств (УСТК1)</t>
  </si>
  <si>
    <t>Академия Единоборств (УСТК2)</t>
  </si>
  <si>
    <t>Департамент эксплуатации</t>
  </si>
  <si>
    <t>ООО Инженерная инфраструктура</t>
  </si>
  <si>
    <t>Руководитель отдела</t>
  </si>
  <si>
    <t>Главный инженер-сметчик</t>
  </si>
  <si>
    <t>Ведущий специлист по делопроизводству</t>
  </si>
  <si>
    <t>Ведущий специлист по закупкам</t>
  </si>
  <si>
    <t>Заместитель руководителя отдела</t>
  </si>
  <si>
    <t>Руководитель группы по реализации проектов</t>
  </si>
  <si>
    <t>Ведущий инженер группы по реализации проектов</t>
  </si>
  <si>
    <t>Заместитель технического директора по системам электроснабжения</t>
  </si>
  <si>
    <t>Главный специалист по эксплуатации территорий</t>
  </si>
  <si>
    <t>Ведущий специлист по материально-техническому обепечению</t>
  </si>
  <si>
    <t>Ведущий специалист по расчетам</t>
  </si>
  <si>
    <t>Заместитель руководителя отдела по складскому хозяйству</t>
  </si>
  <si>
    <t>90</t>
  </si>
  <si>
    <t>147</t>
  </si>
  <si>
    <t>150</t>
  </si>
  <si>
    <t>96</t>
  </si>
  <si>
    <t>177</t>
  </si>
  <si>
    <t>77</t>
  </si>
  <si>
    <t>99</t>
  </si>
  <si>
    <t>171</t>
  </si>
  <si>
    <t>97</t>
  </si>
  <si>
    <t>92</t>
  </si>
  <si>
    <t>145</t>
  </si>
  <si>
    <t>100</t>
  </si>
  <si>
    <t>257</t>
  </si>
  <si>
    <t>173</t>
  </si>
  <si>
    <t>174</t>
  </si>
  <si>
    <t>98</t>
  </si>
  <si>
    <t>206</t>
  </si>
  <si>
    <t>121</t>
  </si>
  <si>
    <t>94</t>
  </si>
  <si>
    <t>91</t>
  </si>
  <si>
    <t>86</t>
  </si>
  <si>
    <t>181</t>
  </si>
  <si>
    <t>93</t>
  </si>
  <si>
    <t>124</t>
  </si>
  <si>
    <t>170</t>
  </si>
  <si>
    <t>208</t>
  </si>
  <si>
    <t>267</t>
  </si>
  <si>
    <t>Дежурный инженер-технолог</t>
  </si>
  <si>
    <t>Дежурная служба</t>
  </si>
  <si>
    <t>95</t>
  </si>
  <si>
    <t>317</t>
  </si>
  <si>
    <t>Итого %</t>
  </si>
  <si>
    <t>Триумфальный проезд 3, Пульсар</t>
  </si>
  <si>
    <r>
      <t xml:space="preserve">Международная,  2 
</t>
    </r>
    <r>
      <rPr>
        <sz val="11"/>
        <color rgb="FF00B0F0"/>
        <rFont val="Calibri"/>
        <family val="2"/>
        <charset val="204"/>
        <scheme val="minor"/>
      </rPr>
      <t>(90%)</t>
    </r>
  </si>
  <si>
    <t>Комплекс апартаментов, Парусная д.10,12</t>
  </si>
  <si>
    <t xml:space="preserve"> Технико-внедренческая зона 
(РЖД)</t>
  </si>
  <si>
    <t xml:space="preserve">ДДУ
Воскресенская, 16 </t>
  </si>
  <si>
    <t>Бассейн_Воскресенская, 18</t>
  </si>
  <si>
    <t>ПЛ Школа Воскресенская, 18</t>
  </si>
  <si>
    <t>Спец.обекты</t>
  </si>
  <si>
    <t xml:space="preserve">Лицей
Международная, 10 </t>
  </si>
  <si>
    <r>
      <t xml:space="preserve">Спорткомплекс_Кур.пр._312/23
</t>
    </r>
    <r>
      <rPr>
        <sz val="11"/>
        <color rgb="FF00B0F0"/>
        <rFont val="Calibri"/>
        <family val="2"/>
        <charset val="204"/>
        <scheme val="minor"/>
      </rPr>
      <t>(50%)</t>
    </r>
  </si>
  <si>
    <r>
      <t xml:space="preserve">Спорткомплекс_Инжирная_300/23
</t>
    </r>
    <r>
      <rPr>
        <sz val="11"/>
        <color rgb="FF00B0F0"/>
        <rFont val="Calibri"/>
        <family val="2"/>
        <charset val="204"/>
        <scheme val="minor"/>
      </rPr>
      <t>(50%)</t>
    </r>
  </si>
  <si>
    <t>НИЦ
Автодром</t>
  </si>
  <si>
    <t>Гостиничные объекты</t>
  </si>
  <si>
    <t>Спортивные объекты</t>
  </si>
  <si>
    <t>Горный кластер</t>
  </si>
  <si>
    <t>Образовательные объекты</t>
  </si>
  <si>
    <t>Административные здания</t>
  </si>
  <si>
    <t>Прочее</t>
  </si>
  <si>
    <t>04/24-3007/01 КЦ_Университет «Сириус» (ПНиИ «Сириус»)</t>
  </si>
  <si>
    <t>Коммерческие договоры</t>
  </si>
  <si>
    <t>315/02 УК_Апарт-отель_«Альфа Сириус»</t>
  </si>
  <si>
    <t>03/07-1/5 КЦ Масленица_Территория Олимпийского парка</t>
  </si>
  <si>
    <t>Центр-альная служба</t>
  </si>
  <si>
    <t>ЛД Айсберг и ТА</t>
  </si>
  <si>
    <t>ЛД Шайба и ТА</t>
  </si>
  <si>
    <t>Капмус 
ОЦ "Сириус"</t>
  </si>
  <si>
    <t xml:space="preserve">Корпус Спорт </t>
  </si>
  <si>
    <t xml:space="preserve">Корпус Школа </t>
  </si>
  <si>
    <t>Планетарий  "Сириус"</t>
  </si>
  <si>
    <t>Унивеситет "Сириус" (ПНИИ "Сириус")</t>
  </si>
  <si>
    <r>
      <t xml:space="preserve">Международная,  4 
</t>
    </r>
    <r>
      <rPr>
        <sz val="11"/>
        <color rgb="FF00B0F0"/>
        <rFont val="Calibri"/>
        <family val="2"/>
        <charset val="204"/>
        <scheme val="minor"/>
      </rPr>
      <t>(10%)</t>
    </r>
  </si>
  <si>
    <t>Концертный комплекс</t>
  </si>
  <si>
    <t>Квартирный фонд Худякова</t>
  </si>
  <si>
    <t>Квартирный фонд  Эстонская</t>
  </si>
  <si>
    <t>Территория Олимпийского Парк</t>
  </si>
  <si>
    <t>Гостиница "Альфа Сириус"</t>
  </si>
  <si>
    <t>Гостиница  "Сигма Сириус"
(квартал А)</t>
  </si>
  <si>
    <r>
      <t xml:space="preserve">Сигма Сириус (квартал Б)
</t>
    </r>
    <r>
      <rPr>
        <sz val="11"/>
        <color rgb="FF00B0F0"/>
        <rFont val="Calibri"/>
        <family val="2"/>
        <charset val="204"/>
        <scheme val="minor"/>
      </rPr>
      <t>(90 %)</t>
    </r>
  </si>
  <si>
    <r>
      <t xml:space="preserve">Сигма Сириус (квартал Г)
</t>
    </r>
    <r>
      <rPr>
        <sz val="11"/>
        <color rgb="FF00B0F0"/>
        <rFont val="Calibri"/>
        <family val="2"/>
        <charset val="204"/>
        <scheme val="minor"/>
      </rPr>
      <t>(10 %)</t>
    </r>
  </si>
  <si>
    <t>Хостел «S Hostel»</t>
  </si>
  <si>
    <t>Гостиница "Дельта Сириус"</t>
  </si>
  <si>
    <t>Гостиница "Омега Сириус"</t>
  </si>
  <si>
    <t>Гостиница
"Гамма Сириус"</t>
  </si>
  <si>
    <t>255</t>
  </si>
  <si>
    <t>Хабаров Д.Б.</t>
  </si>
  <si>
    <t>166</t>
  </si>
  <si>
    <t>Агеев В.А.</t>
  </si>
  <si>
    <t>167</t>
  </si>
  <si>
    <t>163</t>
  </si>
  <si>
    <t>Линев А.В.</t>
  </si>
  <si>
    <t>Меньщиков А.В.</t>
  </si>
  <si>
    <t>Ремонтная служба, Группа по эксплуатации лифтового оборудования и грузоподъемных механизмов</t>
  </si>
  <si>
    <t>Кампус 
ОЦ "Сириус"</t>
  </si>
  <si>
    <t>Корпус Искусство</t>
  </si>
  <si>
    <t>406</t>
  </si>
  <si>
    <t>Бравков В.С.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</si>
</sst>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.0_-;\-* #,##0.0_-;_-* &quot;-&quot;??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rgb="FF0070C0"/>
      <name val="Calibri"/>
      <family val="2"/>
      <charset val="204"/>
      <scheme val="minor"/>
    </font>
    <font>
      <b/>
      <sz val="12"/>
      <color rgb="FF0070C0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8"/>
      <color theme="2" tint="-0.49998474074526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E8F4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1" tint="0.24994659260841701"/>
      </top>
      <bottom style="thin">
        <color theme="2" tint="-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1" tint="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1" tint="0.24994659260841701"/>
      </left>
      <right/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24994659260841701"/>
      </left>
      <right style="thin">
        <color theme="1" tint="0.24994659260841701"/>
      </right>
      <top style="thin">
        <color theme="2" tint="-0.24994659260841701"/>
      </top>
      <bottom style="thin">
        <color theme="1" tint="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749961851863155"/>
      </right>
      <top/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1" tint="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1" tint="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24994659260841701"/>
      </left>
      <right style="thin">
        <color theme="2" tint="-0.499984740745262"/>
      </right>
      <top/>
      <bottom style="thin">
        <color theme="2" tint="-0.24994659260841701"/>
      </bottom>
      <diagonal/>
    </border>
    <border>
      <left/>
      <right style="thin">
        <color theme="1" tint="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2499465926084170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24994659260841701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749961851863155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749961851863155"/>
      </top>
      <bottom style="thin">
        <color theme="2" tint="-0.499984740745262"/>
      </bottom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0" fillId="0" borderId="8" xfId="0" applyFont="1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2" xfId="0" applyFont="1" applyBorder="1"/>
    <xf numFmtId="0" fontId="2" fillId="0" borderId="0" xfId="0" applyFont="1"/>
    <xf numFmtId="0" fontId="10" fillId="0" borderId="0" xfId="0" applyFont="1" applyAlignment="1">
      <alignment horizontal="center" vertical="top"/>
    </xf>
    <xf numFmtId="0" fontId="0" fillId="0" borderId="10" xfId="0" applyFont="1" applyBorder="1" applyAlignment="1">
      <alignment horizontal="left" vertical="center" indent="1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Fill="1" applyBorder="1" applyAlignment="1">
      <alignment horizontal="left" vertical="center" wrapText="1" indent="1"/>
    </xf>
    <xf numFmtId="0" fontId="2" fillId="0" borderId="13" xfId="0" applyFont="1" applyFill="1" applyBorder="1" applyAlignment="1">
      <alignment horizontal="left" vertical="center" wrapText="1" indent="1"/>
    </xf>
    <xf numFmtId="0" fontId="0" fillId="0" borderId="15" xfId="0" applyFont="1" applyFill="1" applyBorder="1" applyAlignment="1">
      <alignment horizontal="left" vertical="center" wrapText="1" indent="1"/>
    </xf>
    <xf numFmtId="0" fontId="0" fillId="0" borderId="18" xfId="0" applyFont="1" applyFill="1" applyBorder="1" applyAlignment="1">
      <alignment horizontal="left" vertical="center" wrapText="1" indent="1"/>
    </xf>
    <xf numFmtId="0" fontId="0" fillId="0" borderId="19" xfId="0" applyFont="1" applyBorder="1"/>
    <xf numFmtId="0" fontId="0" fillId="0" borderId="20" xfId="0" applyFont="1" applyFill="1" applyBorder="1" applyAlignment="1">
      <alignment horizontal="left" vertical="center" wrapText="1" indent="1"/>
    </xf>
    <xf numFmtId="0" fontId="0" fillId="0" borderId="21" xfId="0" applyFont="1" applyBorder="1"/>
    <xf numFmtId="0" fontId="0" fillId="0" borderId="22" xfId="0" applyFont="1" applyBorder="1"/>
    <xf numFmtId="0" fontId="0" fillId="0" borderId="23" xfId="0" applyFont="1" applyFill="1" applyBorder="1" applyAlignment="1">
      <alignment horizontal="left" vertical="center" wrapText="1" indent="1"/>
    </xf>
    <xf numFmtId="0" fontId="0" fillId="0" borderId="6" xfId="0" applyFont="1" applyBorder="1"/>
    <xf numFmtId="0" fontId="0" fillId="0" borderId="24" xfId="0" applyFont="1" applyBorder="1"/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Border="1"/>
    <xf numFmtId="0" fontId="2" fillId="0" borderId="27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indent="1"/>
    </xf>
    <xf numFmtId="0" fontId="0" fillId="0" borderId="5" xfId="0" applyFont="1" applyBorder="1"/>
    <xf numFmtId="0" fontId="0" fillId="0" borderId="29" xfId="0" applyFont="1" applyBorder="1" applyAlignment="1">
      <alignment horizontal="center"/>
    </xf>
    <xf numFmtId="0" fontId="0" fillId="0" borderId="29" xfId="0" applyFont="1" applyBorder="1"/>
    <xf numFmtId="0" fontId="0" fillId="0" borderId="30" xfId="0" applyFont="1" applyBorder="1"/>
    <xf numFmtId="0" fontId="0" fillId="0" borderId="31" xfId="0" applyFont="1" applyBorder="1" applyAlignment="1">
      <alignment horizontal="center"/>
    </xf>
    <xf numFmtId="0" fontId="0" fillId="0" borderId="31" xfId="0" applyFont="1" applyBorder="1"/>
    <xf numFmtId="0" fontId="0" fillId="0" borderId="32" xfId="0" applyFont="1" applyBorder="1"/>
    <xf numFmtId="0" fontId="2" fillId="0" borderId="33" xfId="0" applyFont="1" applyBorder="1"/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0" fillId="0" borderId="40" xfId="0" applyFont="1" applyBorder="1"/>
    <xf numFmtId="0" fontId="0" fillId="0" borderId="41" xfId="0" applyFont="1" applyBorder="1"/>
    <xf numFmtId="0" fontId="2" fillId="0" borderId="42" xfId="0" applyFont="1" applyBorder="1"/>
    <xf numFmtId="0" fontId="2" fillId="0" borderId="28" xfId="0" applyFont="1" applyFill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 wrapText="1" indent="1"/>
    </xf>
    <xf numFmtId="0" fontId="0" fillId="0" borderId="44" xfId="0" applyFont="1" applyFill="1" applyBorder="1" applyAlignment="1">
      <alignment horizontal="left" vertical="center" wrapText="1" indent="1"/>
    </xf>
    <xf numFmtId="0" fontId="0" fillId="0" borderId="45" xfId="0" applyFont="1" applyFill="1" applyBorder="1" applyAlignment="1">
      <alignment horizontal="left" vertical="center" wrapText="1" indent="1"/>
    </xf>
    <xf numFmtId="0" fontId="2" fillId="0" borderId="46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/>
    </xf>
    <xf numFmtId="0" fontId="2" fillId="0" borderId="0" xfId="0" applyFont="1" applyFill="1" applyBorder="1" applyAlignment="1">
      <alignment horizontal="left" wrapText="1" indent="1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vertical="top"/>
    </xf>
    <xf numFmtId="0" fontId="2" fillId="0" borderId="3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2" fillId="0" borderId="49" xfId="0" applyFont="1" applyBorder="1"/>
    <xf numFmtId="0" fontId="2" fillId="0" borderId="4" xfId="0" applyFont="1" applyBorder="1"/>
    <xf numFmtId="0" fontId="1" fillId="0" borderId="0" xfId="0" applyFont="1" applyAlignment="1">
      <alignment horizontal="left"/>
    </xf>
    <xf numFmtId="0" fontId="0" fillId="5" borderId="1" xfId="0" applyFont="1" applyFill="1" applyBorder="1"/>
    <xf numFmtId="165" fontId="2" fillId="3" borderId="1" xfId="3" applyNumberFormat="1" applyFont="1" applyFill="1" applyBorder="1" applyAlignment="1">
      <alignment vertical="center" wrapText="1"/>
    </xf>
    <xf numFmtId="165" fontId="0" fillId="0" borderId="1" xfId="3" applyNumberFormat="1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0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/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wrapText="1"/>
    </xf>
    <xf numFmtId="49" fontId="0" fillId="0" borderId="1" xfId="0" applyNumberFormat="1" applyFont="1" applyBorder="1" applyAlignment="1">
      <alignment horizontal="center"/>
    </xf>
    <xf numFmtId="165" fontId="2" fillId="6" borderId="1" xfId="3" applyNumberFormat="1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0" fillId="6" borderId="1" xfId="3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0" fillId="0" borderId="0" xfId="3" applyNumberFormat="1" applyFont="1" applyFill="1" applyBorder="1" applyAlignment="1">
      <alignment horizontal="center"/>
    </xf>
    <xf numFmtId="10" fontId="2" fillId="0" borderId="1" xfId="3" applyNumberFormat="1" applyFont="1" applyFill="1" applyBorder="1" applyAlignment="1">
      <alignment horizontal="center"/>
    </xf>
    <xf numFmtId="10" fontId="2" fillId="6" borderId="1" xfId="3" applyNumberFormat="1" applyFont="1" applyFill="1" applyBorder="1" applyAlignment="1">
      <alignment vertical="center" wrapText="1"/>
    </xf>
    <xf numFmtId="0" fontId="0" fillId="7" borderId="1" xfId="0" applyFont="1" applyFill="1" applyBorder="1"/>
    <xf numFmtId="0" fontId="2" fillId="3" borderId="6" xfId="0" applyFont="1" applyFill="1" applyBorder="1" applyAlignment="1">
      <alignment horizontal="center" vertical="center" wrapText="1"/>
    </xf>
    <xf numFmtId="10" fontId="15" fillId="0" borderId="1" xfId="3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vertical="center"/>
    </xf>
    <xf numFmtId="0" fontId="2" fillId="3" borderId="53" xfId="0" applyFont="1" applyFill="1" applyBorder="1" applyAlignment="1">
      <alignment horizontal="center" vertical="center" wrapText="1"/>
    </xf>
    <xf numFmtId="10" fontId="2" fillId="7" borderId="1" xfId="3" applyNumberFormat="1" applyFont="1" applyFill="1" applyBorder="1" applyAlignment="1">
      <alignment horizontal="center"/>
    </xf>
    <xf numFmtId="10" fontId="15" fillId="7" borderId="1" xfId="3" applyNumberFormat="1" applyFont="1" applyFill="1" applyBorder="1" applyAlignment="1">
      <alignment horizontal="center"/>
    </xf>
    <xf numFmtId="10" fontId="2" fillId="7" borderId="1" xfId="3" applyNumberFormat="1" applyFont="1" applyFill="1" applyBorder="1" applyAlignment="1">
      <alignment vertical="center" wrapText="1"/>
    </xf>
    <xf numFmtId="10" fontId="14" fillId="0" borderId="1" xfId="3" applyNumberFormat="1" applyFont="1" applyFill="1" applyBorder="1" applyAlignment="1">
      <alignment horizontal="center"/>
    </xf>
    <xf numFmtId="10" fontId="14" fillId="6" borderId="1" xfId="3" applyNumberFormat="1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7" xfId="0" applyFont="1" applyBorder="1" applyAlignment="1">
      <alignment horizontal="left" vertical="center" indent="1"/>
    </xf>
    <xf numFmtId="0" fontId="0" fillId="0" borderId="9" xfId="0" applyFont="1" applyBorder="1" applyAlignment="1">
      <alignment horizontal="left" vertical="center" indent="1"/>
    </xf>
    <xf numFmtId="0" fontId="0" fillId="0" borderId="8" xfId="0" applyFont="1" applyBorder="1" applyAlignment="1">
      <alignment horizontal="left" vertical="center" indent="1"/>
    </xf>
    <xf numFmtId="0" fontId="2" fillId="0" borderId="0" xfId="0" applyFont="1" applyFill="1" applyBorder="1" applyAlignment="1">
      <alignment horizontal="center" wrapText="1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0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1" fillId="0" borderId="5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3" borderId="52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3" xfId="2"/>
    <cellStyle name="Обычный 4" xfId="1"/>
    <cellStyle name="Финансовый" xfId="3" builtinId="3"/>
    <cellStyle name="Финансовый 2" xfId="4"/>
  </cellStyles>
  <dxfs count="0"/>
  <tableStyles count="0" defaultTableStyle="TableStyleMedium2" defaultPivotStyle="PivotStyleLight16"/>
  <colors>
    <mruColors>
      <color rgb="FFE8F4FE"/>
      <color rgb="FFECF5E7"/>
      <color rgb="FFE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78"/>
  <sheetViews>
    <sheetView showGridLines="0" workbookViewId="0">
      <selection activeCell="D47" sqref="D47"/>
    </sheetView>
  </sheetViews>
  <sheetFormatPr defaultColWidth="8.85546875" defaultRowHeight="15" x14ac:dyDescent="0.25"/>
  <cols>
    <col min="1" max="1" width="28.28515625" style="1" customWidth="1"/>
    <col min="2" max="2" width="23" style="1" customWidth="1"/>
    <col min="3" max="3" width="24.7109375" style="1" customWidth="1"/>
    <col min="4" max="4" width="13.28515625" style="2" customWidth="1"/>
    <col min="5" max="5" width="8.85546875" style="2"/>
    <col min="6" max="6" width="29" style="2" customWidth="1"/>
    <col min="7" max="9" width="8.85546875" style="2"/>
    <col min="10" max="16384" width="8.85546875" style="1"/>
  </cols>
  <sheetData>
    <row r="1" spans="1:53" ht="18.75" x14ac:dyDescent="0.3">
      <c r="A1" s="121" t="s">
        <v>180</v>
      </c>
      <c r="B1" s="121"/>
      <c r="C1" s="121"/>
      <c r="D1" s="67" t="s">
        <v>104</v>
      </c>
    </row>
    <row r="2" spans="1:53" s="2" customFormat="1" x14ac:dyDescent="0.25">
      <c r="A2" s="1"/>
      <c r="B2" s="1"/>
      <c r="C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s="11" customFormat="1" ht="19.149999999999999" customHeight="1" x14ac:dyDescent="0.25">
      <c r="A3" s="21" t="s">
        <v>97</v>
      </c>
      <c r="B3" s="22"/>
      <c r="C3" s="2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</row>
    <row r="4" spans="1:53" s="11" customFormat="1" ht="19.899999999999999" customHeight="1" x14ac:dyDescent="0.25">
      <c r="A4" s="24" t="s">
        <v>0</v>
      </c>
      <c r="B4" s="115" t="s">
        <v>69</v>
      </c>
      <c r="C4" s="116"/>
      <c r="D4" s="15" t="s">
        <v>100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3" s="11" customFormat="1" ht="19.899999999999999" customHeight="1" x14ac:dyDescent="0.25">
      <c r="A5" s="24" t="s">
        <v>92</v>
      </c>
      <c r="B5" s="115" t="s">
        <v>46</v>
      </c>
      <c r="C5" s="116"/>
      <c r="D5" s="15" t="s">
        <v>100</v>
      </c>
    </row>
    <row r="6" spans="1:53" s="16" customFormat="1" ht="19.899999999999999" customHeight="1" x14ac:dyDescent="0.25">
      <c r="A6" s="25" t="s">
        <v>93</v>
      </c>
      <c r="B6" s="117"/>
      <c r="C6" s="118"/>
    </row>
    <row r="7" spans="1:53" s="11" customFormat="1" ht="19.899999999999999" customHeight="1" x14ac:dyDescent="0.25">
      <c r="A7" s="26" t="s">
        <v>94</v>
      </c>
      <c r="B7" s="119"/>
      <c r="C7" s="120"/>
    </row>
    <row r="8" spans="1:53" s="2" customFormat="1" ht="19.899999999999999" customHeight="1" x14ac:dyDescent="0.25">
      <c r="A8" s="13"/>
    </row>
    <row r="9" spans="1:53" s="7" customFormat="1" ht="23.45" customHeight="1" x14ac:dyDescent="0.25">
      <c r="A9" s="35" t="s">
        <v>95</v>
      </c>
      <c r="B9" s="36"/>
      <c r="C9" s="37" t="s">
        <v>96</v>
      </c>
    </row>
    <row r="10" spans="1:53" s="2" customFormat="1" ht="15.6" customHeight="1" x14ac:dyDescent="0.25">
      <c r="A10" s="32" t="s">
        <v>16</v>
      </c>
      <c r="B10" s="33"/>
      <c r="C10" s="34"/>
    </row>
    <row r="11" spans="1:53" s="2" customFormat="1" ht="15.6" customHeight="1" x14ac:dyDescent="0.25">
      <c r="A11" s="27" t="s">
        <v>17</v>
      </c>
      <c r="B11" s="4"/>
      <c r="C11" s="28"/>
    </row>
    <row r="12" spans="1:53" s="2" customFormat="1" ht="15.6" customHeight="1" x14ac:dyDescent="0.25">
      <c r="A12" s="27" t="s">
        <v>87</v>
      </c>
      <c r="B12" s="4"/>
      <c r="C12" s="28"/>
    </row>
    <row r="13" spans="1:53" s="2" customFormat="1" ht="15.6" customHeight="1" x14ac:dyDescent="0.25">
      <c r="A13" s="27" t="s">
        <v>88</v>
      </c>
      <c r="B13" s="4"/>
      <c r="C13" s="28"/>
    </row>
    <row r="14" spans="1:53" s="2" customFormat="1" ht="15.6" customHeight="1" x14ac:dyDescent="0.25">
      <c r="A14" s="27" t="s">
        <v>89</v>
      </c>
      <c r="B14" s="4"/>
      <c r="C14" s="28"/>
    </row>
    <row r="15" spans="1:53" s="2" customFormat="1" ht="15.6" customHeight="1" x14ac:dyDescent="0.25">
      <c r="A15" s="27" t="s">
        <v>3</v>
      </c>
      <c r="B15" s="4"/>
      <c r="C15" s="28"/>
    </row>
    <row r="16" spans="1:53" s="2" customFormat="1" ht="15.6" customHeight="1" x14ac:dyDescent="0.25">
      <c r="A16" s="27" t="s">
        <v>4</v>
      </c>
      <c r="B16" s="4"/>
      <c r="C16" s="28"/>
    </row>
    <row r="17" spans="1:3" s="2" customFormat="1" ht="15.6" customHeight="1" x14ac:dyDescent="0.25">
      <c r="A17" s="27" t="s">
        <v>5</v>
      </c>
      <c r="B17" s="4"/>
      <c r="C17" s="28"/>
    </row>
    <row r="18" spans="1:3" s="2" customFormat="1" ht="15.6" customHeight="1" x14ac:dyDescent="0.25">
      <c r="A18" s="27" t="s">
        <v>6</v>
      </c>
      <c r="B18" s="4"/>
      <c r="C18" s="28"/>
    </row>
    <row r="19" spans="1:3" s="2" customFormat="1" ht="15.6" customHeight="1" x14ac:dyDescent="0.25">
      <c r="A19" s="27" t="s">
        <v>18</v>
      </c>
      <c r="B19" s="4"/>
      <c r="C19" s="28"/>
    </row>
    <row r="20" spans="1:3" s="2" customFormat="1" ht="15.6" customHeight="1" x14ac:dyDescent="0.25">
      <c r="A20" s="27" t="s">
        <v>19</v>
      </c>
      <c r="B20" s="4"/>
      <c r="C20" s="28"/>
    </row>
    <row r="21" spans="1:3" s="2" customFormat="1" ht="15.6" customHeight="1" x14ac:dyDescent="0.25">
      <c r="A21" s="27" t="s">
        <v>20</v>
      </c>
      <c r="B21" s="4"/>
      <c r="C21" s="28"/>
    </row>
    <row r="22" spans="1:3" s="2" customFormat="1" ht="15.6" customHeight="1" x14ac:dyDescent="0.25">
      <c r="A22" s="27" t="s">
        <v>7</v>
      </c>
      <c r="B22" s="4"/>
      <c r="C22" s="28"/>
    </row>
    <row r="23" spans="1:3" s="2" customFormat="1" ht="15.6" customHeight="1" x14ac:dyDescent="0.25">
      <c r="A23" s="27" t="s">
        <v>8</v>
      </c>
      <c r="B23" s="4"/>
      <c r="C23" s="28"/>
    </row>
    <row r="24" spans="1:3" s="2" customFormat="1" ht="15.6" customHeight="1" x14ac:dyDescent="0.25">
      <c r="A24" s="27" t="s">
        <v>9</v>
      </c>
      <c r="B24" s="4"/>
      <c r="C24" s="28"/>
    </row>
    <row r="25" spans="1:3" s="2" customFormat="1" ht="15.6" customHeight="1" x14ac:dyDescent="0.25">
      <c r="A25" s="27" t="s">
        <v>10</v>
      </c>
      <c r="B25" s="4"/>
      <c r="C25" s="28"/>
    </row>
    <row r="26" spans="1:3" s="2" customFormat="1" ht="15.6" customHeight="1" x14ac:dyDescent="0.25">
      <c r="A26" s="27" t="s">
        <v>21</v>
      </c>
      <c r="B26" s="4"/>
      <c r="C26" s="28"/>
    </row>
    <row r="27" spans="1:3" s="2" customFormat="1" ht="15.6" customHeight="1" x14ac:dyDescent="0.25">
      <c r="A27" s="27" t="s">
        <v>11</v>
      </c>
      <c r="B27" s="4"/>
      <c r="C27" s="28"/>
    </row>
    <row r="28" spans="1:3" s="2" customFormat="1" ht="15.6" customHeight="1" x14ac:dyDescent="0.25">
      <c r="A28" s="27" t="s">
        <v>12</v>
      </c>
      <c r="B28" s="4"/>
      <c r="C28" s="28"/>
    </row>
    <row r="29" spans="1:3" s="2" customFormat="1" ht="15.6" customHeight="1" x14ac:dyDescent="0.25">
      <c r="A29" s="27" t="s">
        <v>22</v>
      </c>
      <c r="B29" s="4"/>
      <c r="C29" s="28"/>
    </row>
    <row r="30" spans="1:3" s="2" customFormat="1" ht="15.6" customHeight="1" x14ac:dyDescent="0.25">
      <c r="A30" s="27" t="s">
        <v>23</v>
      </c>
      <c r="B30" s="4"/>
      <c r="C30" s="28"/>
    </row>
    <row r="31" spans="1:3" s="2" customFormat="1" ht="15.6" customHeight="1" x14ac:dyDescent="0.25">
      <c r="A31" s="27" t="s">
        <v>24</v>
      </c>
      <c r="B31" s="4"/>
      <c r="C31" s="28"/>
    </row>
    <row r="32" spans="1:3" s="2" customFormat="1" ht="15.6" customHeight="1" x14ac:dyDescent="0.25">
      <c r="A32" s="27" t="s">
        <v>14</v>
      </c>
      <c r="B32" s="4"/>
      <c r="C32" s="28"/>
    </row>
    <row r="33" spans="1:9" s="2" customFormat="1" ht="15.6" customHeight="1" x14ac:dyDescent="0.25">
      <c r="A33" s="27" t="s">
        <v>13</v>
      </c>
      <c r="B33" s="4"/>
      <c r="C33" s="28"/>
      <c r="F33" s="1"/>
    </row>
    <row r="34" spans="1:9" s="2" customFormat="1" ht="15.6" customHeight="1" x14ac:dyDescent="0.25">
      <c r="A34" s="27" t="s">
        <v>27</v>
      </c>
      <c r="B34" s="4"/>
      <c r="C34" s="28"/>
      <c r="F34" s="1"/>
    </row>
    <row r="35" spans="1:9" s="2" customFormat="1" ht="15.6" customHeight="1" x14ac:dyDescent="0.25">
      <c r="A35" s="27" t="s">
        <v>28</v>
      </c>
      <c r="B35" s="4"/>
      <c r="C35" s="28"/>
      <c r="F35" s="1"/>
    </row>
    <row r="36" spans="1:9" ht="15.6" customHeight="1" x14ac:dyDescent="0.25">
      <c r="A36" s="27" t="s">
        <v>29</v>
      </c>
      <c r="B36" s="4"/>
      <c r="C36" s="28"/>
      <c r="F36" s="1"/>
    </row>
    <row r="37" spans="1:9" ht="15.6" customHeight="1" x14ac:dyDescent="0.25">
      <c r="A37" s="27" t="s">
        <v>30</v>
      </c>
      <c r="B37" s="4"/>
      <c r="C37" s="28"/>
      <c r="F37" s="1"/>
    </row>
    <row r="38" spans="1:9" ht="15.6" customHeight="1" x14ac:dyDescent="0.25">
      <c r="A38" s="27" t="s">
        <v>31</v>
      </c>
      <c r="B38" s="4"/>
      <c r="C38" s="28"/>
      <c r="F38" s="1"/>
    </row>
    <row r="39" spans="1:9" ht="15.6" customHeight="1" x14ac:dyDescent="0.25">
      <c r="A39" s="27" t="s">
        <v>32</v>
      </c>
      <c r="B39" s="4"/>
      <c r="C39" s="28"/>
      <c r="F39" s="1"/>
    </row>
    <row r="40" spans="1:9" ht="15.6" customHeight="1" x14ac:dyDescent="0.25">
      <c r="A40" s="29" t="s">
        <v>33</v>
      </c>
      <c r="B40" s="30"/>
      <c r="C40" s="31"/>
      <c r="F40" s="1"/>
    </row>
    <row r="41" spans="1:9" x14ac:dyDescent="0.25">
      <c r="F41" s="1"/>
    </row>
    <row r="42" spans="1:9" s="19" customFormat="1" ht="30" x14ac:dyDescent="0.25">
      <c r="A42" s="17" t="s">
        <v>99</v>
      </c>
      <c r="B42" s="18"/>
      <c r="D42" s="7"/>
      <c r="E42" s="7"/>
      <c r="G42" s="7"/>
      <c r="H42" s="7"/>
      <c r="I42" s="7"/>
    </row>
    <row r="43" spans="1:9" x14ac:dyDescent="0.25">
      <c r="C43" s="20" t="s">
        <v>98</v>
      </c>
      <c r="F43" s="1"/>
    </row>
    <row r="44" spans="1:9" x14ac:dyDescent="0.25">
      <c r="F44" s="1"/>
    </row>
    <row r="45" spans="1:9" x14ac:dyDescent="0.25">
      <c r="F45" s="1"/>
    </row>
    <row r="46" spans="1:9" x14ac:dyDescent="0.25">
      <c r="F46" s="1"/>
    </row>
    <row r="47" spans="1:9" x14ac:dyDescent="0.25">
      <c r="F47" s="1"/>
    </row>
    <row r="48" spans="1:9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</sheetData>
  <mergeCells count="5">
    <mergeCell ref="B4:C4"/>
    <mergeCell ref="B5:C5"/>
    <mergeCell ref="B6:C6"/>
    <mergeCell ref="B7:C7"/>
    <mergeCell ref="A1:C1"/>
  </mergeCells>
  <pageMargins left="0.70866141732283472" right="0.70866141732283472" top="0.74803149606299213" bottom="0.74803149606299213" header="0.31496062992125984" footer="0.31496062992125984"/>
  <pageSetup paperSize="9" scale="67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Подразделения!$A$5:$A$20</xm:f>
          </x14:formula1>
          <xm:sqref>B4</xm:sqref>
        </x14:dataValidation>
        <x14:dataValidation type="list" allowBlank="1" showInputMessage="1" showErrorMessage="1">
          <x14:formula1>
            <xm:f>Должности!$A$1:$A$44</xm:f>
          </x14:formula1>
          <xm:sqref>B5</xm:sqref>
        </x14:dataValidation>
        <x14:dataValidation type="list" allowBlank="1" showInputMessage="1" showErrorMessage="1">
          <x14:formula1>
            <xm:f>Департамент!$A$3:$A$9</xm:f>
          </x14:formula1>
          <xm:sqref>A1:C1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B79"/>
  <sheetViews>
    <sheetView showGridLines="0" workbookViewId="0">
      <selection activeCell="AK8" sqref="AK8"/>
    </sheetView>
  </sheetViews>
  <sheetFormatPr defaultColWidth="8.85546875" defaultRowHeight="15" x14ac:dyDescent="0.25"/>
  <cols>
    <col min="1" max="1" width="1.85546875" style="1" customWidth="1"/>
    <col min="2" max="2" width="28.28515625" style="1" customWidth="1"/>
    <col min="3" max="4" width="4.7109375" style="1" customWidth="1"/>
    <col min="5" max="10" width="4.42578125" style="2" customWidth="1"/>
    <col min="11" max="33" width="4.42578125" style="1" customWidth="1"/>
    <col min="34" max="34" width="10.28515625" style="1" customWidth="1"/>
    <col min="35" max="16384" width="8.85546875" style="1"/>
  </cols>
  <sheetData>
    <row r="1" spans="2:54" ht="21" x14ac:dyDescent="0.35">
      <c r="B1" s="129" t="s">
        <v>180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J1" s="67" t="s">
        <v>105</v>
      </c>
    </row>
    <row r="2" spans="2:54" s="2" customFormat="1" x14ac:dyDescent="0.25">
      <c r="B2" s="1"/>
      <c r="C2" s="1"/>
      <c r="D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2:54" s="11" customFormat="1" ht="19.149999999999999" customHeight="1" x14ac:dyDescent="0.25">
      <c r="B3" s="38" t="s">
        <v>97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6"/>
      <c r="AF3" s="127"/>
      <c r="AG3" s="127"/>
      <c r="AH3" s="128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</row>
    <row r="4" spans="2:54" s="11" customFormat="1" ht="19.899999999999999" customHeight="1" x14ac:dyDescent="0.25">
      <c r="B4" s="14" t="s">
        <v>0</v>
      </c>
      <c r="C4" s="122" t="s">
        <v>69</v>
      </c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4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65" t="s">
        <v>102</v>
      </c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</row>
    <row r="5" spans="2:54" s="11" customFormat="1" ht="19.899999999999999" customHeight="1" x14ac:dyDescent="0.25">
      <c r="B5" s="14" t="s">
        <v>92</v>
      </c>
      <c r="C5" s="122" t="s">
        <v>46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4"/>
    </row>
    <row r="6" spans="2:54" s="63" customFormat="1" ht="25.9" customHeight="1" x14ac:dyDescent="0.25">
      <c r="B6" s="64" t="s">
        <v>93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</row>
    <row r="7" spans="2:54" s="11" customFormat="1" ht="19.899999999999999" customHeight="1" x14ac:dyDescent="0.25">
      <c r="B7" s="14" t="s">
        <v>94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</row>
    <row r="8" spans="2:54" s="2" customFormat="1" ht="19.899999999999999" customHeight="1" x14ac:dyDescent="0.25">
      <c r="B8" s="13"/>
    </row>
    <row r="9" spans="2:54" s="7" customFormat="1" ht="29.45" customHeight="1" x14ac:dyDescent="0.25">
      <c r="B9" s="56"/>
      <c r="C9" s="52">
        <v>1</v>
      </c>
      <c r="D9" s="50">
        <v>2</v>
      </c>
      <c r="E9" s="50">
        <v>3</v>
      </c>
      <c r="F9" s="50">
        <v>4</v>
      </c>
      <c r="G9" s="50">
        <v>5</v>
      </c>
      <c r="H9" s="50">
        <v>6</v>
      </c>
      <c r="I9" s="50">
        <v>7</v>
      </c>
      <c r="J9" s="50">
        <v>8</v>
      </c>
      <c r="K9" s="50">
        <v>9</v>
      </c>
      <c r="L9" s="50">
        <v>10</v>
      </c>
      <c r="M9" s="50">
        <v>11</v>
      </c>
      <c r="N9" s="50">
        <v>12</v>
      </c>
      <c r="O9" s="50">
        <v>13</v>
      </c>
      <c r="P9" s="50">
        <v>14</v>
      </c>
      <c r="Q9" s="50">
        <v>15</v>
      </c>
      <c r="R9" s="50">
        <v>16</v>
      </c>
      <c r="S9" s="50">
        <v>17</v>
      </c>
      <c r="T9" s="50">
        <v>18</v>
      </c>
      <c r="U9" s="50">
        <v>19</v>
      </c>
      <c r="V9" s="50">
        <v>20</v>
      </c>
      <c r="W9" s="50">
        <v>21</v>
      </c>
      <c r="X9" s="50">
        <v>22</v>
      </c>
      <c r="Y9" s="50">
        <v>23</v>
      </c>
      <c r="Z9" s="50">
        <v>24</v>
      </c>
      <c r="AA9" s="50">
        <v>25</v>
      </c>
      <c r="AB9" s="50">
        <v>26</v>
      </c>
      <c r="AC9" s="50">
        <v>27</v>
      </c>
      <c r="AD9" s="50">
        <v>28</v>
      </c>
      <c r="AE9" s="50">
        <v>29</v>
      </c>
      <c r="AF9" s="50">
        <v>30</v>
      </c>
      <c r="AG9" s="51">
        <v>31</v>
      </c>
      <c r="AH9" s="66" t="s">
        <v>103</v>
      </c>
    </row>
    <row r="10" spans="2:54" s="2" customFormat="1" ht="15.6" customHeight="1" x14ac:dyDescent="0.25">
      <c r="B10" s="57" t="s">
        <v>16</v>
      </c>
      <c r="C10" s="5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8"/>
      <c r="AH10" s="49"/>
    </row>
    <row r="11" spans="2:54" s="2" customFormat="1" ht="15.6" customHeight="1" x14ac:dyDescent="0.25">
      <c r="B11" s="58" t="s">
        <v>17</v>
      </c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43"/>
      <c r="AH11" s="40"/>
    </row>
    <row r="12" spans="2:54" s="2" customFormat="1" ht="15.6" customHeight="1" x14ac:dyDescent="0.25">
      <c r="B12" s="58" t="s">
        <v>87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43"/>
      <c r="AH12" s="40"/>
    </row>
    <row r="13" spans="2:54" s="2" customFormat="1" ht="15.6" customHeight="1" x14ac:dyDescent="0.25">
      <c r="B13" s="58" t="s">
        <v>88</v>
      </c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43"/>
      <c r="AH13" s="40"/>
    </row>
    <row r="14" spans="2:54" s="2" customFormat="1" ht="15.6" customHeight="1" x14ac:dyDescent="0.25">
      <c r="B14" s="58" t="s">
        <v>89</v>
      </c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43"/>
      <c r="AH14" s="40"/>
    </row>
    <row r="15" spans="2:54" s="2" customFormat="1" ht="15.6" customHeight="1" x14ac:dyDescent="0.25">
      <c r="B15" s="58" t="s">
        <v>3</v>
      </c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43"/>
      <c r="AH15" s="40"/>
    </row>
    <row r="16" spans="2:54" s="2" customFormat="1" ht="15.6" customHeight="1" x14ac:dyDescent="0.25">
      <c r="B16" s="58" t="s">
        <v>4</v>
      </c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43"/>
      <c r="AH16" s="40"/>
    </row>
    <row r="17" spans="2:34" s="2" customFormat="1" ht="15.6" customHeight="1" x14ac:dyDescent="0.25">
      <c r="B17" s="58" t="s">
        <v>5</v>
      </c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43"/>
      <c r="AH17" s="40"/>
    </row>
    <row r="18" spans="2:34" s="2" customFormat="1" ht="15.6" customHeight="1" x14ac:dyDescent="0.25">
      <c r="B18" s="58" t="s">
        <v>6</v>
      </c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43"/>
      <c r="AH18" s="40"/>
    </row>
    <row r="19" spans="2:34" s="2" customFormat="1" ht="15.6" customHeight="1" x14ac:dyDescent="0.25">
      <c r="B19" s="58" t="s">
        <v>18</v>
      </c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43"/>
      <c r="AH19" s="40"/>
    </row>
    <row r="20" spans="2:34" s="2" customFormat="1" ht="15.6" customHeight="1" x14ac:dyDescent="0.25">
      <c r="B20" s="58" t="s">
        <v>19</v>
      </c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43"/>
      <c r="AH20" s="40"/>
    </row>
    <row r="21" spans="2:34" s="2" customFormat="1" ht="15.6" customHeight="1" x14ac:dyDescent="0.25">
      <c r="B21" s="58" t="s">
        <v>20</v>
      </c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43"/>
      <c r="AH21" s="40"/>
    </row>
    <row r="22" spans="2:34" s="2" customFormat="1" ht="15.6" customHeight="1" x14ac:dyDescent="0.25">
      <c r="B22" s="58" t="s">
        <v>7</v>
      </c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43"/>
      <c r="AH22" s="40"/>
    </row>
    <row r="23" spans="2:34" s="2" customFormat="1" ht="15.6" customHeight="1" x14ac:dyDescent="0.25">
      <c r="B23" s="58" t="s">
        <v>8</v>
      </c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43"/>
      <c r="AH23" s="40"/>
    </row>
    <row r="24" spans="2:34" s="2" customFormat="1" ht="15.6" customHeight="1" x14ac:dyDescent="0.25">
      <c r="B24" s="58" t="s">
        <v>9</v>
      </c>
      <c r="C24" s="10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43"/>
      <c r="AH24" s="40"/>
    </row>
    <row r="25" spans="2:34" s="2" customFormat="1" ht="15.6" customHeight="1" x14ac:dyDescent="0.25">
      <c r="B25" s="58" t="s">
        <v>10</v>
      </c>
      <c r="C25" s="1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43"/>
      <c r="AH25" s="40"/>
    </row>
    <row r="26" spans="2:34" s="2" customFormat="1" ht="15.6" customHeight="1" x14ac:dyDescent="0.25">
      <c r="B26" s="58" t="s">
        <v>21</v>
      </c>
      <c r="C26" s="10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43"/>
      <c r="AH26" s="40"/>
    </row>
    <row r="27" spans="2:34" s="2" customFormat="1" ht="15.6" customHeight="1" x14ac:dyDescent="0.25">
      <c r="B27" s="58" t="s">
        <v>11</v>
      </c>
      <c r="C27" s="1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43"/>
      <c r="AH27" s="40"/>
    </row>
    <row r="28" spans="2:34" s="2" customFormat="1" ht="15.6" customHeight="1" x14ac:dyDescent="0.25">
      <c r="B28" s="58" t="s">
        <v>12</v>
      </c>
      <c r="C28" s="10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43"/>
      <c r="AH28" s="40"/>
    </row>
    <row r="29" spans="2:34" s="2" customFormat="1" ht="15.6" customHeight="1" x14ac:dyDescent="0.25">
      <c r="B29" s="58" t="s">
        <v>22</v>
      </c>
      <c r="C29" s="1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43"/>
      <c r="AH29" s="40"/>
    </row>
    <row r="30" spans="2:34" s="2" customFormat="1" ht="15.6" customHeight="1" x14ac:dyDescent="0.25">
      <c r="B30" s="58" t="s">
        <v>23</v>
      </c>
      <c r="C30" s="10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43"/>
      <c r="AH30" s="40"/>
    </row>
    <row r="31" spans="2:34" s="2" customFormat="1" ht="15.6" customHeight="1" x14ac:dyDescent="0.25">
      <c r="B31" s="58" t="s">
        <v>24</v>
      </c>
      <c r="C31" s="1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43"/>
      <c r="AH31" s="40"/>
    </row>
    <row r="32" spans="2:34" s="2" customFormat="1" ht="15.6" customHeight="1" x14ac:dyDescent="0.25">
      <c r="B32" s="58" t="s">
        <v>14</v>
      </c>
      <c r="C32" s="10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43"/>
      <c r="AH32" s="40"/>
    </row>
    <row r="33" spans="2:37" s="2" customFormat="1" ht="15.6" customHeight="1" x14ac:dyDescent="0.25">
      <c r="B33" s="58" t="s">
        <v>13</v>
      </c>
      <c r="C33" s="10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43"/>
      <c r="AH33" s="40"/>
    </row>
    <row r="34" spans="2:37" s="2" customFormat="1" ht="15.6" customHeight="1" x14ac:dyDescent="0.25">
      <c r="B34" s="58" t="s">
        <v>27</v>
      </c>
      <c r="C34" s="10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43"/>
      <c r="AH34" s="40"/>
    </row>
    <row r="35" spans="2:37" s="2" customFormat="1" ht="15.6" customHeight="1" x14ac:dyDescent="0.25">
      <c r="B35" s="58" t="s">
        <v>28</v>
      </c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43"/>
      <c r="AH35" s="40"/>
    </row>
    <row r="36" spans="2:37" ht="15.6" customHeight="1" x14ac:dyDescent="0.25">
      <c r="B36" s="58" t="s">
        <v>29</v>
      </c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4"/>
      <c r="AH36" s="41"/>
    </row>
    <row r="37" spans="2:37" ht="15.6" customHeight="1" x14ac:dyDescent="0.25">
      <c r="B37" s="58" t="s">
        <v>30</v>
      </c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4"/>
      <c r="AH37" s="41"/>
    </row>
    <row r="38" spans="2:37" ht="15.6" customHeight="1" x14ac:dyDescent="0.25">
      <c r="B38" s="58" t="s">
        <v>31</v>
      </c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4"/>
      <c r="AH38" s="41"/>
    </row>
    <row r="39" spans="2:37" ht="15.6" customHeight="1" x14ac:dyDescent="0.25">
      <c r="B39" s="58" t="s">
        <v>32</v>
      </c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4"/>
      <c r="AH39" s="41"/>
    </row>
    <row r="40" spans="2:37" ht="15.6" customHeight="1" x14ac:dyDescent="0.25">
      <c r="B40" s="59" t="s">
        <v>33</v>
      </c>
      <c r="C40" s="54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45"/>
      <c r="AH40" s="42"/>
    </row>
    <row r="41" spans="2:37" s="19" customFormat="1" ht="22.9" customHeight="1" x14ac:dyDescent="0.25">
      <c r="B41" s="60" t="s">
        <v>101</v>
      </c>
      <c r="C41" s="5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68"/>
      <c r="AH41" s="69"/>
    </row>
    <row r="42" spans="2:37" x14ac:dyDescent="0.25">
      <c r="G42" s="1"/>
    </row>
    <row r="43" spans="2:37" s="19" customFormat="1" ht="30" x14ac:dyDescent="0.25">
      <c r="B43" s="62" t="s">
        <v>99</v>
      </c>
      <c r="C43" s="18"/>
      <c r="D43" s="18"/>
      <c r="E43" s="61"/>
      <c r="F43" s="61"/>
      <c r="G43" s="18"/>
      <c r="H43" s="61"/>
      <c r="I43" s="61"/>
      <c r="J43" s="7"/>
      <c r="U43" s="125" t="s">
        <v>96</v>
      </c>
      <c r="V43" s="125"/>
      <c r="W43" s="125"/>
      <c r="X43" s="125"/>
      <c r="Y43" s="125"/>
      <c r="Z43" s="125"/>
      <c r="AA43" s="61"/>
      <c r="AB43" s="61"/>
      <c r="AC43" s="61"/>
      <c r="AD43" s="18"/>
      <c r="AE43" s="18"/>
      <c r="AF43" s="18"/>
      <c r="AK43" s="67" t="s">
        <v>106</v>
      </c>
    </row>
    <row r="44" spans="2:37" x14ac:dyDescent="0.25">
      <c r="G44" s="1"/>
      <c r="K44" s="20" t="s">
        <v>98</v>
      </c>
      <c r="X44" s="2"/>
      <c r="Y44" s="2"/>
      <c r="AA44" s="2"/>
      <c r="AB44" s="2"/>
      <c r="AC44" s="2"/>
      <c r="AH44" s="20" t="s">
        <v>98</v>
      </c>
    </row>
    <row r="45" spans="2:37" x14ac:dyDescent="0.25">
      <c r="G45" s="1"/>
    </row>
    <row r="46" spans="2:37" x14ac:dyDescent="0.25">
      <c r="G46" s="1"/>
    </row>
    <row r="47" spans="2:37" x14ac:dyDescent="0.25">
      <c r="G47" s="1"/>
    </row>
    <row r="48" spans="2:3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</sheetData>
  <mergeCells count="8">
    <mergeCell ref="C5:N5"/>
    <mergeCell ref="U43:Z43"/>
    <mergeCell ref="AE3:AH3"/>
    <mergeCell ref="B1:AH1"/>
    <mergeCell ref="C3:N3"/>
    <mergeCell ref="C7:N7"/>
    <mergeCell ref="C6:N6"/>
    <mergeCell ref="C4:N4"/>
  </mergeCells>
  <pageMargins left="0.7" right="0.7" top="0.75" bottom="0.75" header="0.3" footer="0.3"/>
  <pageSetup paperSize="9" scale="64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Должности!$A$1:$A$44</xm:f>
          </x14:formula1>
          <xm:sqref>C5</xm:sqref>
        </x14:dataValidation>
        <x14:dataValidation type="list" allowBlank="1" showInputMessage="1" showErrorMessage="1">
          <x14:formula1>
            <xm:f>Подразделения!$A$5:$A$20</xm:f>
          </x14:formula1>
          <xm:sqref>C4</xm:sqref>
        </x14:dataValidation>
        <x14:dataValidation type="list" allowBlank="1" showInputMessage="1" showErrorMessage="1">
          <x14:formula1>
            <xm:f>Департамент!$A$3:$A$6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T217"/>
  <sheetViews>
    <sheetView showGridLines="0" topLeftCell="E1" zoomScale="115" zoomScaleNormal="115" workbookViewId="0">
      <selection activeCell="C12" sqref="C9:F12"/>
    </sheetView>
  </sheetViews>
  <sheetFormatPr defaultColWidth="8.85546875" defaultRowHeight="15" x14ac:dyDescent="0.25"/>
  <cols>
    <col min="1" max="1" width="5.28515625" style="1" customWidth="1"/>
    <col min="2" max="2" width="14.140625" style="2" customWidth="1"/>
    <col min="3" max="3" width="36.42578125" style="1" customWidth="1"/>
    <col min="4" max="4" width="50.28515625" style="74" customWidth="1"/>
    <col min="5" max="5" width="50.7109375" style="74" customWidth="1"/>
    <col min="6" max="6" width="26.140625" style="2" customWidth="1"/>
    <col min="7" max="20" width="8.85546875" style="2"/>
    <col min="21" max="16384" width="8.85546875" style="1"/>
  </cols>
  <sheetData>
    <row r="1" spans="1:7" ht="18.75" x14ac:dyDescent="0.3">
      <c r="A1" s="121" t="s">
        <v>180</v>
      </c>
      <c r="B1" s="121"/>
      <c r="C1" s="121"/>
      <c r="D1" s="121"/>
      <c r="E1" s="121"/>
      <c r="F1" s="70"/>
    </row>
    <row r="2" spans="1:7" ht="27.6" customHeight="1" x14ac:dyDescent="0.25">
      <c r="A2" s="134" t="s">
        <v>35</v>
      </c>
      <c r="B2" s="134" t="s">
        <v>2</v>
      </c>
      <c r="C2" s="134" t="s">
        <v>1</v>
      </c>
      <c r="D2" s="134" t="s">
        <v>109</v>
      </c>
      <c r="E2" s="134" t="s">
        <v>108</v>
      </c>
      <c r="F2" s="132" t="s">
        <v>125</v>
      </c>
      <c r="G2" s="133"/>
    </row>
    <row r="3" spans="1:7" s="3" customFormat="1" ht="51" customHeight="1" x14ac:dyDescent="0.25">
      <c r="A3" s="134"/>
      <c r="B3" s="134"/>
      <c r="C3" s="134"/>
      <c r="D3" s="134"/>
      <c r="E3" s="134"/>
      <c r="F3" s="132"/>
      <c r="G3" s="133"/>
    </row>
    <row r="4" spans="1:7" ht="15" customHeight="1" x14ac:dyDescent="0.25">
      <c r="A4" s="4">
        <v>1</v>
      </c>
      <c r="B4" s="80" t="s">
        <v>268</v>
      </c>
      <c r="C4" s="77" t="s">
        <v>269</v>
      </c>
      <c r="D4" s="75" t="s">
        <v>154</v>
      </c>
      <c r="E4" s="75" t="s">
        <v>76</v>
      </c>
    </row>
    <row r="5" spans="1:7" ht="15" customHeight="1" x14ac:dyDescent="0.25">
      <c r="A5" s="4">
        <v>2</v>
      </c>
      <c r="B5" s="80" t="s">
        <v>270</v>
      </c>
      <c r="C5" s="77" t="s">
        <v>271</v>
      </c>
      <c r="D5" s="75" t="s">
        <v>59</v>
      </c>
      <c r="E5" s="79" t="s">
        <v>69</v>
      </c>
    </row>
    <row r="6" spans="1:7" ht="15" customHeight="1" x14ac:dyDescent="0.25">
      <c r="A6" s="77">
        <v>3</v>
      </c>
      <c r="B6" s="80" t="s">
        <v>272</v>
      </c>
      <c r="C6" s="77" t="s">
        <v>274</v>
      </c>
      <c r="D6" s="79" t="s">
        <v>59</v>
      </c>
      <c r="E6" s="79"/>
    </row>
    <row r="7" spans="1:7" ht="15" customHeight="1" x14ac:dyDescent="0.25">
      <c r="A7" s="77">
        <v>4</v>
      </c>
      <c r="B7" s="80" t="s">
        <v>273</v>
      </c>
      <c r="C7" s="77" t="s">
        <v>275</v>
      </c>
      <c r="D7" s="79" t="s">
        <v>59</v>
      </c>
      <c r="E7" s="79"/>
    </row>
    <row r="8" spans="1:7" ht="15" customHeight="1" x14ac:dyDescent="0.25">
      <c r="A8" s="77">
        <v>5</v>
      </c>
      <c r="B8" s="80"/>
      <c r="C8" s="77"/>
      <c r="D8" s="75"/>
      <c r="E8" s="79"/>
    </row>
    <row r="9" spans="1:7" ht="15" customHeight="1" x14ac:dyDescent="0.25">
      <c r="A9" s="77">
        <v>6</v>
      </c>
      <c r="B9" s="80"/>
      <c r="C9" s="77"/>
      <c r="D9" s="75"/>
      <c r="E9" s="79"/>
    </row>
    <row r="10" spans="1:7" ht="15" customHeight="1" x14ac:dyDescent="0.25">
      <c r="A10" s="77">
        <v>7</v>
      </c>
      <c r="B10" s="80"/>
      <c r="C10" s="77"/>
      <c r="D10" s="75"/>
      <c r="E10" s="79"/>
    </row>
    <row r="11" spans="1:7" ht="15" customHeight="1" x14ac:dyDescent="0.25">
      <c r="A11" s="77">
        <v>8</v>
      </c>
      <c r="B11" s="80"/>
      <c r="C11" s="77"/>
      <c r="D11" s="75"/>
      <c r="E11" s="79"/>
    </row>
    <row r="12" spans="1:7" ht="15" customHeight="1" x14ac:dyDescent="0.25">
      <c r="A12" s="77">
        <v>9</v>
      </c>
      <c r="B12" s="80"/>
      <c r="C12" s="77" t="str">
        <f>сотрудники!E4</f>
        <v>Производственно-технический отдел</v>
      </c>
      <c r="D12" s="79"/>
      <c r="E12" s="79"/>
    </row>
    <row r="13" spans="1:7" ht="15" customHeight="1" x14ac:dyDescent="0.25">
      <c r="A13" s="77">
        <v>10</v>
      </c>
      <c r="B13" s="80"/>
      <c r="C13" s="77"/>
      <c r="D13" s="75"/>
      <c r="E13" s="79"/>
    </row>
    <row r="14" spans="1:7" ht="15" customHeight="1" x14ac:dyDescent="0.25">
      <c r="A14" s="77">
        <v>11</v>
      </c>
      <c r="B14" s="80"/>
      <c r="C14" s="77"/>
      <c r="D14" s="75"/>
      <c r="E14" s="79"/>
    </row>
    <row r="15" spans="1:7" ht="15" customHeight="1" x14ac:dyDescent="0.25">
      <c r="A15" s="77">
        <v>12</v>
      </c>
      <c r="B15" s="80"/>
      <c r="C15" s="77"/>
      <c r="D15" s="75"/>
      <c r="E15" s="79"/>
    </row>
    <row r="16" spans="1:7" ht="15" customHeight="1" x14ac:dyDescent="0.25">
      <c r="A16" s="77">
        <v>13</v>
      </c>
      <c r="B16" s="80"/>
      <c r="C16" s="77"/>
      <c r="D16" s="75"/>
      <c r="E16" s="79"/>
    </row>
    <row r="17" spans="1:5" ht="30" customHeight="1" x14ac:dyDescent="0.25">
      <c r="A17" s="77">
        <v>14</v>
      </c>
      <c r="B17" s="80"/>
      <c r="C17" s="77"/>
      <c r="D17" s="75"/>
      <c r="E17" s="79"/>
    </row>
    <row r="18" spans="1:5" ht="15" customHeight="1" x14ac:dyDescent="0.25">
      <c r="A18" s="77">
        <v>15</v>
      </c>
      <c r="B18" s="80"/>
      <c r="C18" s="77"/>
      <c r="D18" s="75"/>
      <c r="E18" s="79"/>
    </row>
    <row r="19" spans="1:5" ht="15" customHeight="1" x14ac:dyDescent="0.25">
      <c r="A19" s="77">
        <v>16</v>
      </c>
      <c r="B19" s="80"/>
      <c r="C19" s="77"/>
      <c r="D19" s="75"/>
      <c r="E19" s="79"/>
    </row>
    <row r="20" spans="1:5" ht="15" customHeight="1" x14ac:dyDescent="0.25">
      <c r="A20" s="77">
        <v>17</v>
      </c>
      <c r="B20" s="80"/>
      <c r="C20" s="77"/>
      <c r="D20" s="75"/>
      <c r="E20" s="79"/>
    </row>
    <row r="21" spans="1:5" ht="15" customHeight="1" x14ac:dyDescent="0.25">
      <c r="A21" s="77">
        <v>18</v>
      </c>
      <c r="B21" s="80"/>
      <c r="C21" s="77"/>
      <c r="D21" s="75"/>
      <c r="E21" s="79"/>
    </row>
    <row r="22" spans="1:5" ht="15" customHeight="1" x14ac:dyDescent="0.25">
      <c r="A22" s="77">
        <v>19</v>
      </c>
      <c r="B22" s="80"/>
      <c r="C22" s="77"/>
      <c r="D22" s="75"/>
      <c r="E22" s="79"/>
    </row>
    <row r="23" spans="1:5" ht="15" customHeight="1" x14ac:dyDescent="0.25">
      <c r="A23" s="77">
        <v>20</v>
      </c>
      <c r="B23" s="80"/>
      <c r="C23" s="77"/>
      <c r="D23" s="75"/>
      <c r="E23" s="79"/>
    </row>
    <row r="24" spans="1:5" ht="15" customHeight="1" x14ac:dyDescent="0.25">
      <c r="A24" s="77">
        <v>21</v>
      </c>
      <c r="B24" s="80"/>
      <c r="C24" s="77"/>
      <c r="D24" s="75"/>
      <c r="E24" s="79"/>
    </row>
    <row r="25" spans="1:5" ht="15" customHeight="1" x14ac:dyDescent="0.25">
      <c r="A25" s="77">
        <v>22</v>
      </c>
      <c r="B25" s="80"/>
      <c r="C25" s="77"/>
      <c r="D25" s="75"/>
      <c r="E25" s="79"/>
    </row>
    <row r="26" spans="1:5" ht="15" customHeight="1" x14ac:dyDescent="0.25">
      <c r="A26" s="77">
        <v>23</v>
      </c>
      <c r="B26" s="80"/>
      <c r="C26" s="77"/>
      <c r="D26" s="75"/>
      <c r="E26" s="79"/>
    </row>
    <row r="27" spans="1:5" x14ac:dyDescent="0.25">
      <c r="A27" s="77">
        <v>24</v>
      </c>
      <c r="B27" s="80"/>
      <c r="C27" s="77"/>
      <c r="D27" s="75"/>
      <c r="E27" s="79"/>
    </row>
    <row r="28" spans="1:5" ht="15" customHeight="1" x14ac:dyDescent="0.25">
      <c r="A28" s="77">
        <v>25</v>
      </c>
      <c r="B28" s="80"/>
      <c r="C28" s="77"/>
      <c r="D28" s="75"/>
      <c r="E28" s="79"/>
    </row>
    <row r="29" spans="1:5" ht="15" customHeight="1" x14ac:dyDescent="0.25">
      <c r="A29" s="77">
        <v>26</v>
      </c>
      <c r="B29" s="80"/>
      <c r="C29" s="77"/>
      <c r="D29" s="75"/>
      <c r="E29" s="79"/>
    </row>
    <row r="30" spans="1:5" ht="15" customHeight="1" x14ac:dyDescent="0.25">
      <c r="A30" s="77">
        <v>27</v>
      </c>
      <c r="B30" s="80"/>
      <c r="C30" s="77"/>
      <c r="D30" s="75"/>
      <c r="E30" s="79"/>
    </row>
    <row r="31" spans="1:5" ht="15" customHeight="1" x14ac:dyDescent="0.25">
      <c r="A31" s="77">
        <v>28</v>
      </c>
      <c r="B31" s="80"/>
      <c r="C31" s="77"/>
      <c r="D31" s="75"/>
      <c r="E31" s="75"/>
    </row>
    <row r="32" spans="1:5" ht="15" customHeight="1" x14ac:dyDescent="0.25">
      <c r="A32" s="4">
        <v>515</v>
      </c>
      <c r="B32" s="80"/>
      <c r="C32" s="77"/>
      <c r="D32" s="79"/>
      <c r="E32" s="79"/>
    </row>
    <row r="33" spans="1:5" ht="15" customHeight="1" x14ac:dyDescent="0.25">
      <c r="A33" s="4">
        <v>516</v>
      </c>
      <c r="B33" s="80"/>
      <c r="C33" s="77"/>
      <c r="D33" s="79"/>
      <c r="E33" s="79"/>
    </row>
    <row r="34" spans="1:5" ht="15" customHeight="1" x14ac:dyDescent="0.25">
      <c r="A34" s="4">
        <v>517</v>
      </c>
      <c r="B34" s="80"/>
      <c r="C34" s="77"/>
      <c r="D34" s="79"/>
      <c r="E34" s="79"/>
    </row>
    <row r="35" spans="1:5" ht="15" customHeight="1" x14ac:dyDescent="0.25">
      <c r="A35" s="4">
        <v>518</v>
      </c>
      <c r="B35" s="80"/>
      <c r="C35" s="4"/>
      <c r="D35" s="75"/>
      <c r="E35" s="75"/>
    </row>
    <row r="36" spans="1:5" ht="15" customHeight="1" x14ac:dyDescent="0.25">
      <c r="A36" s="4">
        <v>519</v>
      </c>
      <c r="B36" s="80"/>
      <c r="C36" s="4"/>
      <c r="D36" s="75"/>
      <c r="E36" s="75"/>
    </row>
    <row r="37" spans="1:5" ht="15" customHeight="1" x14ac:dyDescent="0.25">
      <c r="A37" s="4">
        <v>520</v>
      </c>
      <c r="B37" s="80"/>
      <c r="C37" s="4"/>
      <c r="D37" s="75"/>
      <c r="E37" s="75"/>
    </row>
    <row r="38" spans="1:5" ht="15" customHeight="1" x14ac:dyDescent="0.25">
      <c r="A38" s="4">
        <v>521</v>
      </c>
      <c r="B38" s="80"/>
      <c r="C38" s="4"/>
      <c r="D38" s="75"/>
      <c r="E38" s="75"/>
    </row>
    <row r="39" spans="1:5" ht="15" customHeight="1" x14ac:dyDescent="0.25">
      <c r="A39" s="4">
        <v>522</v>
      </c>
      <c r="B39" s="80"/>
      <c r="C39" s="4"/>
      <c r="D39" s="75"/>
      <c r="E39" s="75"/>
    </row>
    <row r="40" spans="1:5" ht="15" customHeight="1" x14ac:dyDescent="0.25">
      <c r="A40" s="4">
        <v>523</v>
      </c>
      <c r="B40" s="80"/>
      <c r="C40" s="4"/>
      <c r="D40" s="75"/>
      <c r="E40" s="75"/>
    </row>
    <row r="41" spans="1:5" ht="15" customHeight="1" x14ac:dyDescent="0.25">
      <c r="A41" s="4">
        <v>524</v>
      </c>
      <c r="B41" s="80"/>
      <c r="C41" s="4"/>
      <c r="D41" s="75"/>
      <c r="E41" s="75"/>
    </row>
    <row r="42" spans="1:5" ht="15" customHeight="1" x14ac:dyDescent="0.25">
      <c r="A42" s="4">
        <v>525</v>
      </c>
      <c r="B42" s="5"/>
      <c r="C42" s="4"/>
      <c r="D42" s="75"/>
      <c r="E42" s="75"/>
    </row>
    <row r="43" spans="1:5" ht="15" customHeight="1" x14ac:dyDescent="0.25">
      <c r="A43" s="4">
        <v>526</v>
      </c>
      <c r="B43" s="5"/>
      <c r="C43" s="4"/>
      <c r="D43" s="75"/>
      <c r="E43" s="75"/>
    </row>
    <row r="44" spans="1:5" ht="15" customHeight="1" x14ac:dyDescent="0.25">
      <c r="A44" s="4">
        <v>527</v>
      </c>
      <c r="B44" s="5"/>
      <c r="C44" s="4"/>
      <c r="D44" s="75"/>
      <c r="E44" s="75"/>
    </row>
    <row r="45" spans="1:5" ht="15" customHeight="1" x14ac:dyDescent="0.25">
      <c r="A45" s="4">
        <v>528</v>
      </c>
      <c r="B45" s="5"/>
      <c r="C45" s="4"/>
      <c r="D45" s="75"/>
      <c r="E45" s="75"/>
    </row>
    <row r="46" spans="1:5" ht="15" customHeight="1" x14ac:dyDescent="0.25">
      <c r="A46" s="4">
        <v>529</v>
      </c>
      <c r="B46" s="5"/>
      <c r="C46" s="4"/>
      <c r="D46" s="79"/>
      <c r="E46" s="75"/>
    </row>
    <row r="47" spans="1:5" ht="15" customHeight="1" x14ac:dyDescent="0.25">
      <c r="A47" s="4">
        <v>530</v>
      </c>
      <c r="B47" s="5"/>
      <c r="C47" s="4"/>
      <c r="D47" s="79"/>
      <c r="E47" s="75"/>
    </row>
    <row r="48" spans="1:5" ht="15" customHeight="1" x14ac:dyDescent="0.25">
      <c r="A48" s="4">
        <v>531</v>
      </c>
      <c r="B48" s="5"/>
      <c r="C48" s="4"/>
      <c r="D48" s="75"/>
      <c r="E48" s="75"/>
    </row>
    <row r="49" spans="1:5" ht="15" customHeight="1" x14ac:dyDescent="0.25">
      <c r="A49" s="4">
        <v>532</v>
      </c>
      <c r="B49" s="5"/>
      <c r="C49" s="4"/>
      <c r="D49" s="75"/>
      <c r="E49" s="75"/>
    </row>
    <row r="50" spans="1:5" ht="15" customHeight="1" x14ac:dyDescent="0.25">
      <c r="A50" s="4">
        <v>533</v>
      </c>
      <c r="B50" s="5"/>
      <c r="C50" s="4"/>
      <c r="D50" s="75"/>
      <c r="E50" s="75"/>
    </row>
    <row r="51" spans="1:5" ht="15" customHeight="1" x14ac:dyDescent="0.25">
      <c r="A51" s="4">
        <v>534</v>
      </c>
      <c r="B51" s="5"/>
      <c r="C51" s="4"/>
      <c r="D51" s="75"/>
      <c r="E51" s="75"/>
    </row>
    <row r="52" spans="1:5" ht="15" customHeight="1" x14ac:dyDescent="0.25">
      <c r="A52" s="4">
        <v>535</v>
      </c>
      <c r="B52" s="5"/>
      <c r="C52" s="4"/>
      <c r="D52" s="75"/>
      <c r="E52" s="75"/>
    </row>
    <row r="53" spans="1:5" ht="15" customHeight="1" x14ac:dyDescent="0.25">
      <c r="A53" s="4">
        <v>536</v>
      </c>
      <c r="B53" s="5"/>
      <c r="C53" s="4"/>
      <c r="D53" s="75"/>
      <c r="E53" s="75"/>
    </row>
    <row r="54" spans="1:5" ht="15" customHeight="1" x14ac:dyDescent="0.25">
      <c r="A54" s="4">
        <v>537</v>
      </c>
      <c r="B54" s="5"/>
      <c r="C54" s="4"/>
      <c r="D54" s="75"/>
      <c r="E54" s="75"/>
    </row>
    <row r="55" spans="1:5" ht="15" customHeight="1" x14ac:dyDescent="0.25">
      <c r="A55" s="4">
        <v>538</v>
      </c>
      <c r="B55" s="5"/>
      <c r="C55" s="4"/>
      <c r="D55" s="75"/>
      <c r="E55" s="75"/>
    </row>
    <row r="56" spans="1:5" ht="15" customHeight="1" x14ac:dyDescent="0.25">
      <c r="A56" s="4">
        <v>539</v>
      </c>
      <c r="B56" s="5"/>
      <c r="C56" s="4"/>
      <c r="D56" s="75"/>
      <c r="E56" s="75"/>
    </row>
    <row r="57" spans="1:5" ht="15" customHeight="1" x14ac:dyDescent="0.25">
      <c r="A57" s="4">
        <v>540</v>
      </c>
      <c r="B57" s="5"/>
      <c r="C57" s="4"/>
      <c r="D57" s="75"/>
      <c r="E57" s="75"/>
    </row>
    <row r="58" spans="1:5" ht="15" customHeight="1" x14ac:dyDescent="0.25">
      <c r="A58" s="4">
        <v>541</v>
      </c>
      <c r="B58" s="5"/>
      <c r="C58" s="4"/>
      <c r="D58" s="75"/>
      <c r="E58" s="75"/>
    </row>
    <row r="59" spans="1:5" ht="15" customHeight="1" x14ac:dyDescent="0.25">
      <c r="A59" s="4">
        <v>542</v>
      </c>
      <c r="B59" s="5"/>
      <c r="C59" s="4"/>
      <c r="D59" s="75"/>
      <c r="E59" s="75"/>
    </row>
    <row r="60" spans="1:5" ht="15" customHeight="1" x14ac:dyDescent="0.25">
      <c r="A60" s="4">
        <v>543</v>
      </c>
      <c r="B60" s="5"/>
      <c r="C60" s="4"/>
      <c r="D60" s="75"/>
      <c r="E60" s="75"/>
    </row>
    <row r="61" spans="1:5" ht="15" customHeight="1" x14ac:dyDescent="0.25">
      <c r="A61" s="4">
        <v>544</v>
      </c>
      <c r="B61" s="5"/>
      <c r="C61" s="4"/>
      <c r="D61" s="75"/>
      <c r="E61" s="75"/>
    </row>
    <row r="62" spans="1:5" ht="15" customHeight="1" x14ac:dyDescent="0.25">
      <c r="A62" s="4">
        <v>545</v>
      </c>
      <c r="B62" s="5"/>
      <c r="C62" s="4"/>
      <c r="D62" s="75"/>
      <c r="E62" s="75"/>
    </row>
    <row r="63" spans="1:5" ht="15" customHeight="1" x14ac:dyDescent="0.25">
      <c r="A63" s="4">
        <v>546</v>
      </c>
      <c r="B63" s="5"/>
      <c r="C63" s="4"/>
      <c r="D63" s="75"/>
      <c r="E63" s="75"/>
    </row>
    <row r="64" spans="1:5" ht="15" customHeight="1" x14ac:dyDescent="0.25">
      <c r="A64" s="4">
        <v>547</v>
      </c>
      <c r="B64" s="5"/>
      <c r="C64" s="4"/>
      <c r="D64" s="75"/>
      <c r="E64" s="75"/>
    </row>
    <row r="65" spans="1:5" ht="15" customHeight="1" x14ac:dyDescent="0.25">
      <c r="A65" s="4">
        <v>548</v>
      </c>
      <c r="B65" s="5"/>
      <c r="C65" s="4"/>
      <c r="D65" s="75"/>
      <c r="E65" s="75"/>
    </row>
    <row r="66" spans="1:5" ht="15" customHeight="1" x14ac:dyDescent="0.25">
      <c r="A66" s="4">
        <v>549</v>
      </c>
      <c r="B66" s="5"/>
      <c r="C66" s="4"/>
      <c r="D66" s="75"/>
      <c r="E66" s="75"/>
    </row>
    <row r="67" spans="1:5" ht="15" customHeight="1" x14ac:dyDescent="0.25">
      <c r="A67" s="4">
        <v>550</v>
      </c>
      <c r="B67" s="5"/>
      <c r="C67" s="4"/>
      <c r="D67" s="75"/>
      <c r="E67" s="75"/>
    </row>
    <row r="68" spans="1:5" ht="15" customHeight="1" x14ac:dyDescent="0.25">
      <c r="A68" s="4">
        <v>551</v>
      </c>
      <c r="B68" s="5"/>
      <c r="C68" s="4"/>
      <c r="D68" s="75"/>
      <c r="E68" s="75"/>
    </row>
    <row r="69" spans="1:5" ht="15" customHeight="1" x14ac:dyDescent="0.25">
      <c r="A69" s="4">
        <v>552</v>
      </c>
      <c r="B69" s="5"/>
      <c r="C69" s="4"/>
      <c r="D69" s="75"/>
      <c r="E69" s="75"/>
    </row>
    <row r="70" spans="1:5" ht="15" customHeight="1" x14ac:dyDescent="0.25">
      <c r="A70" s="4">
        <v>553</v>
      </c>
      <c r="B70" s="5"/>
      <c r="C70" s="4"/>
      <c r="D70" s="75"/>
      <c r="E70" s="75"/>
    </row>
    <row r="71" spans="1:5" ht="15" customHeight="1" x14ac:dyDescent="0.25">
      <c r="A71" s="4">
        <v>554</v>
      </c>
      <c r="B71" s="5"/>
      <c r="C71" s="4"/>
      <c r="D71" s="75"/>
      <c r="E71" s="75"/>
    </row>
    <row r="72" spans="1:5" ht="15" customHeight="1" x14ac:dyDescent="0.25">
      <c r="A72" s="4">
        <v>555</v>
      </c>
      <c r="B72" s="5"/>
      <c r="C72" s="4"/>
      <c r="D72" s="75"/>
      <c r="E72" s="75"/>
    </row>
    <row r="73" spans="1:5" ht="15" customHeight="1" x14ac:dyDescent="0.25">
      <c r="A73" s="4">
        <v>556</v>
      </c>
      <c r="B73" s="5"/>
      <c r="C73" s="4"/>
      <c r="D73" s="75"/>
      <c r="E73" s="75"/>
    </row>
    <row r="74" spans="1:5" ht="15" customHeight="1" x14ac:dyDescent="0.25">
      <c r="A74" s="4">
        <v>557</v>
      </c>
      <c r="B74" s="5"/>
      <c r="C74" s="4"/>
      <c r="D74" s="75"/>
      <c r="E74" s="75"/>
    </row>
    <row r="75" spans="1:5" ht="15" customHeight="1" x14ac:dyDescent="0.25">
      <c r="A75" s="4">
        <v>558</v>
      </c>
      <c r="B75" s="5"/>
      <c r="C75" s="4"/>
      <c r="D75" s="75"/>
      <c r="E75" s="75"/>
    </row>
    <row r="76" spans="1:5" ht="15" customHeight="1" x14ac:dyDescent="0.25">
      <c r="A76" s="4">
        <v>559</v>
      </c>
      <c r="B76" s="5"/>
      <c r="C76" s="4"/>
      <c r="D76" s="75"/>
      <c r="E76" s="75"/>
    </row>
    <row r="77" spans="1:5" ht="15" customHeight="1" x14ac:dyDescent="0.25">
      <c r="A77" s="4">
        <v>560</v>
      </c>
      <c r="B77" s="5"/>
      <c r="C77" s="4"/>
      <c r="D77" s="75"/>
      <c r="E77" s="75"/>
    </row>
    <row r="78" spans="1:5" ht="15" customHeight="1" x14ac:dyDescent="0.25">
      <c r="A78" s="4">
        <v>561</v>
      </c>
      <c r="B78" s="5"/>
      <c r="C78" s="4"/>
      <c r="D78" s="75"/>
      <c r="E78" s="75"/>
    </row>
    <row r="79" spans="1:5" ht="15" customHeight="1" x14ac:dyDescent="0.25">
      <c r="A79" s="4">
        <v>562</v>
      </c>
      <c r="B79" s="5"/>
      <c r="C79" s="4"/>
      <c r="D79" s="75"/>
      <c r="E79" s="75"/>
    </row>
    <row r="80" spans="1:5" ht="15" customHeight="1" x14ac:dyDescent="0.25">
      <c r="A80" s="4">
        <v>563</v>
      </c>
      <c r="B80" s="5"/>
      <c r="C80" s="4"/>
      <c r="D80" s="75"/>
      <c r="E80" s="75"/>
    </row>
    <row r="81" spans="1:5" ht="15" customHeight="1" x14ac:dyDescent="0.25">
      <c r="A81" s="4">
        <v>564</v>
      </c>
      <c r="B81" s="5"/>
      <c r="C81" s="4"/>
      <c r="D81" s="75"/>
      <c r="E81" s="75"/>
    </row>
    <row r="82" spans="1:5" ht="15" customHeight="1" x14ac:dyDescent="0.25">
      <c r="A82" s="4">
        <v>565</v>
      </c>
      <c r="B82" s="5"/>
      <c r="C82" s="4"/>
      <c r="D82" s="75"/>
      <c r="E82" s="75"/>
    </row>
    <row r="83" spans="1:5" ht="15" customHeight="1" x14ac:dyDescent="0.25">
      <c r="A83" s="4">
        <v>566</v>
      </c>
      <c r="B83" s="5"/>
      <c r="C83" s="4"/>
      <c r="D83" s="75"/>
      <c r="E83" s="75"/>
    </row>
    <row r="84" spans="1:5" ht="15" customHeight="1" x14ac:dyDescent="0.25">
      <c r="A84" s="4">
        <v>567</v>
      </c>
      <c r="B84" s="5"/>
      <c r="C84" s="4"/>
      <c r="D84" s="75"/>
      <c r="E84" s="75"/>
    </row>
    <row r="85" spans="1:5" ht="15" customHeight="1" x14ac:dyDescent="0.25">
      <c r="A85" s="4">
        <v>568</v>
      </c>
      <c r="B85" s="5"/>
      <c r="C85" s="4"/>
      <c r="D85" s="75"/>
      <c r="E85" s="75"/>
    </row>
    <row r="86" spans="1:5" ht="15" customHeight="1" x14ac:dyDescent="0.25">
      <c r="A86" s="4">
        <v>569</v>
      </c>
      <c r="B86" s="5"/>
      <c r="C86" s="4"/>
      <c r="D86" s="75"/>
      <c r="E86" s="75"/>
    </row>
    <row r="87" spans="1:5" ht="15" customHeight="1" x14ac:dyDescent="0.25">
      <c r="A87" s="4">
        <v>570</v>
      </c>
      <c r="B87" s="5"/>
      <c r="C87" s="4"/>
      <c r="D87" s="75"/>
      <c r="E87" s="75"/>
    </row>
    <row r="88" spans="1:5" ht="15" customHeight="1" x14ac:dyDescent="0.25">
      <c r="A88" s="4">
        <v>571</v>
      </c>
      <c r="B88" s="5"/>
      <c r="C88" s="4"/>
      <c r="D88" s="75"/>
      <c r="E88" s="75"/>
    </row>
    <row r="89" spans="1:5" ht="15" customHeight="1" x14ac:dyDescent="0.25">
      <c r="A89" s="4">
        <v>572</v>
      </c>
      <c r="B89" s="5"/>
      <c r="C89" s="4"/>
      <c r="D89" s="75"/>
      <c r="E89" s="75"/>
    </row>
    <row r="90" spans="1:5" ht="15" customHeight="1" x14ac:dyDescent="0.25">
      <c r="A90" s="4">
        <v>573</v>
      </c>
      <c r="B90" s="5"/>
      <c r="C90" s="4"/>
      <c r="D90" s="75"/>
      <c r="E90" s="75"/>
    </row>
    <row r="91" spans="1:5" ht="15" customHeight="1" x14ac:dyDescent="0.25">
      <c r="A91" s="4">
        <v>574</v>
      </c>
      <c r="B91" s="5"/>
      <c r="C91" s="4"/>
      <c r="D91" s="75"/>
      <c r="E91" s="75"/>
    </row>
    <row r="92" spans="1:5" ht="15" customHeight="1" x14ac:dyDescent="0.25">
      <c r="A92" s="4">
        <v>575</v>
      </c>
      <c r="B92" s="5"/>
      <c r="C92" s="4"/>
      <c r="D92" s="75"/>
      <c r="E92" s="75"/>
    </row>
    <row r="93" spans="1:5" ht="15" customHeight="1" x14ac:dyDescent="0.25">
      <c r="A93" s="4">
        <v>576</v>
      </c>
      <c r="B93" s="5"/>
      <c r="C93" s="4"/>
      <c r="D93" s="75"/>
      <c r="E93" s="75"/>
    </row>
    <row r="94" spans="1:5" ht="15" customHeight="1" x14ac:dyDescent="0.25">
      <c r="A94" s="4">
        <v>577</v>
      </c>
      <c r="B94" s="5"/>
      <c r="C94" s="4"/>
      <c r="D94" s="75"/>
      <c r="E94" s="75"/>
    </row>
    <row r="95" spans="1:5" ht="15" customHeight="1" x14ac:dyDescent="0.25">
      <c r="A95" s="4">
        <v>578</v>
      </c>
      <c r="B95" s="5"/>
      <c r="C95" s="4"/>
      <c r="D95" s="75"/>
      <c r="E95" s="75"/>
    </row>
    <row r="96" spans="1:5" ht="15" customHeight="1" x14ac:dyDescent="0.25">
      <c r="A96" s="4">
        <v>579</v>
      </c>
      <c r="B96" s="5"/>
      <c r="C96" s="4"/>
      <c r="D96" s="75"/>
      <c r="E96" s="75"/>
    </row>
    <row r="97" spans="1:5" ht="15" customHeight="1" x14ac:dyDescent="0.25">
      <c r="A97" s="4">
        <v>580</v>
      </c>
      <c r="B97" s="5"/>
      <c r="C97" s="4"/>
      <c r="D97" s="75"/>
      <c r="E97" s="75"/>
    </row>
    <row r="98" spans="1:5" ht="15" customHeight="1" x14ac:dyDescent="0.25">
      <c r="A98" s="4">
        <v>581</v>
      </c>
      <c r="B98" s="5"/>
      <c r="C98" s="4"/>
      <c r="D98" s="75"/>
      <c r="E98" s="75"/>
    </row>
    <row r="99" spans="1:5" ht="15" customHeight="1" x14ac:dyDescent="0.25">
      <c r="A99" s="4">
        <v>582</v>
      </c>
      <c r="B99" s="5"/>
      <c r="C99" s="4"/>
      <c r="D99" s="75"/>
      <c r="E99" s="75"/>
    </row>
    <row r="100" spans="1:5" ht="15" customHeight="1" x14ac:dyDescent="0.25">
      <c r="A100" s="4">
        <v>583</v>
      </c>
      <c r="B100" s="5"/>
      <c r="C100" s="4"/>
      <c r="D100" s="75"/>
      <c r="E100" s="75"/>
    </row>
    <row r="101" spans="1:5" ht="15" customHeight="1" x14ac:dyDescent="0.25">
      <c r="A101" s="4">
        <v>584</v>
      </c>
      <c r="B101" s="5"/>
      <c r="C101" s="4"/>
      <c r="D101" s="75"/>
      <c r="E101" s="75"/>
    </row>
    <row r="102" spans="1:5" ht="15" customHeight="1" x14ac:dyDescent="0.25">
      <c r="A102" s="4">
        <v>585</v>
      </c>
      <c r="B102" s="5"/>
      <c r="C102" s="4"/>
      <c r="D102" s="75"/>
      <c r="E102" s="75"/>
    </row>
    <row r="103" spans="1:5" ht="15" customHeight="1" x14ac:dyDescent="0.25">
      <c r="A103" s="4">
        <v>586</v>
      </c>
      <c r="B103" s="5"/>
      <c r="C103" s="4"/>
      <c r="D103" s="75"/>
      <c r="E103" s="75"/>
    </row>
    <row r="104" spans="1:5" ht="15" customHeight="1" x14ac:dyDescent="0.25">
      <c r="A104" s="4">
        <v>587</v>
      </c>
      <c r="B104" s="5"/>
      <c r="C104" s="4"/>
      <c r="D104" s="75"/>
      <c r="E104" s="75"/>
    </row>
    <row r="105" spans="1:5" ht="15" customHeight="1" x14ac:dyDescent="0.25">
      <c r="A105" s="4">
        <v>588</v>
      </c>
      <c r="B105" s="5"/>
      <c r="C105" s="4"/>
      <c r="D105" s="75"/>
      <c r="E105" s="75"/>
    </row>
    <row r="106" spans="1:5" ht="15" customHeight="1" x14ac:dyDescent="0.25">
      <c r="A106" s="4">
        <v>589</v>
      </c>
      <c r="B106" s="5"/>
      <c r="C106" s="4"/>
      <c r="D106" s="75"/>
      <c r="E106" s="75"/>
    </row>
    <row r="107" spans="1:5" ht="15" customHeight="1" x14ac:dyDescent="0.25">
      <c r="A107" s="4">
        <v>590</v>
      </c>
      <c r="B107" s="5"/>
      <c r="C107" s="4"/>
      <c r="D107" s="75"/>
      <c r="E107" s="75"/>
    </row>
    <row r="108" spans="1:5" ht="15" customHeight="1" x14ac:dyDescent="0.25">
      <c r="A108" s="4">
        <v>591</v>
      </c>
      <c r="B108" s="5"/>
      <c r="C108" s="4"/>
      <c r="D108" s="75"/>
      <c r="E108" s="75"/>
    </row>
    <row r="109" spans="1:5" ht="15" customHeight="1" x14ac:dyDescent="0.25">
      <c r="A109" s="4">
        <v>592</v>
      </c>
      <c r="B109" s="5"/>
      <c r="C109" s="4"/>
      <c r="D109" s="75"/>
      <c r="E109" s="75"/>
    </row>
    <row r="110" spans="1:5" ht="15" customHeight="1" x14ac:dyDescent="0.25">
      <c r="A110" s="4">
        <v>593</v>
      </c>
      <c r="B110" s="5"/>
      <c r="C110" s="4"/>
      <c r="D110" s="75"/>
      <c r="E110" s="75"/>
    </row>
    <row r="111" spans="1:5" ht="15" customHeight="1" x14ac:dyDescent="0.25">
      <c r="A111" s="4">
        <v>594</v>
      </c>
      <c r="B111" s="5"/>
      <c r="C111" s="4"/>
      <c r="D111" s="75"/>
      <c r="E111" s="75"/>
    </row>
    <row r="112" spans="1:5" ht="15" customHeight="1" x14ac:dyDescent="0.25">
      <c r="A112" s="4">
        <v>595</v>
      </c>
      <c r="B112" s="5"/>
      <c r="C112" s="4"/>
      <c r="D112" s="75"/>
      <c r="E112" s="75"/>
    </row>
    <row r="113" spans="1:5" ht="15" customHeight="1" x14ac:dyDescent="0.25">
      <c r="A113" s="4">
        <v>596</v>
      </c>
      <c r="B113" s="5"/>
      <c r="C113" s="4"/>
      <c r="D113" s="75"/>
      <c r="E113" s="75"/>
    </row>
    <row r="114" spans="1:5" ht="15" customHeight="1" x14ac:dyDescent="0.25">
      <c r="A114" s="4">
        <v>597</v>
      </c>
      <c r="B114" s="5"/>
      <c r="C114" s="4"/>
      <c r="D114" s="75"/>
      <c r="E114" s="75"/>
    </row>
    <row r="115" spans="1:5" ht="15" customHeight="1" x14ac:dyDescent="0.25">
      <c r="A115" s="4">
        <v>598</v>
      </c>
      <c r="B115" s="5"/>
      <c r="C115" s="4"/>
      <c r="D115" s="75"/>
      <c r="E115" s="75"/>
    </row>
    <row r="116" spans="1:5" ht="15" customHeight="1" x14ac:dyDescent="0.25">
      <c r="A116" s="4">
        <v>599</v>
      </c>
      <c r="B116" s="5"/>
      <c r="C116" s="4"/>
      <c r="D116" s="75"/>
      <c r="E116" s="75"/>
    </row>
    <row r="117" spans="1:5" ht="15" customHeight="1" x14ac:dyDescent="0.25">
      <c r="A117" s="4">
        <v>600</v>
      </c>
      <c r="B117" s="5"/>
      <c r="C117" s="4"/>
      <c r="D117" s="75"/>
      <c r="E117" s="75"/>
    </row>
    <row r="118" spans="1:5" ht="15" customHeight="1" x14ac:dyDescent="0.25">
      <c r="A118" s="4">
        <v>601</v>
      </c>
      <c r="B118" s="5"/>
      <c r="C118" s="4"/>
      <c r="D118" s="75"/>
      <c r="E118" s="75"/>
    </row>
    <row r="119" spans="1:5" ht="15" customHeight="1" x14ac:dyDescent="0.25">
      <c r="A119" s="4">
        <v>602</v>
      </c>
      <c r="B119" s="5"/>
      <c r="C119" s="4"/>
      <c r="D119" s="75"/>
      <c r="E119" s="75"/>
    </row>
    <row r="120" spans="1:5" ht="15" customHeight="1" x14ac:dyDescent="0.25">
      <c r="A120" s="4">
        <v>603</v>
      </c>
      <c r="B120" s="5"/>
      <c r="C120" s="4"/>
      <c r="D120" s="75"/>
      <c r="E120" s="75"/>
    </row>
    <row r="121" spans="1:5" ht="15" customHeight="1" x14ac:dyDescent="0.25">
      <c r="A121" s="4">
        <v>604</v>
      </c>
      <c r="B121" s="5"/>
      <c r="C121" s="4"/>
      <c r="D121" s="75"/>
      <c r="E121" s="75"/>
    </row>
    <row r="122" spans="1:5" ht="15" customHeight="1" x14ac:dyDescent="0.25">
      <c r="A122" s="4">
        <v>605</v>
      </c>
      <c r="B122" s="5"/>
      <c r="C122" s="4"/>
      <c r="D122" s="75"/>
      <c r="E122" s="75"/>
    </row>
    <row r="123" spans="1:5" ht="15" customHeight="1" x14ac:dyDescent="0.25">
      <c r="A123" s="4">
        <v>606</v>
      </c>
      <c r="B123" s="5"/>
      <c r="C123" s="4"/>
      <c r="D123" s="75"/>
      <c r="E123" s="75"/>
    </row>
    <row r="124" spans="1:5" ht="15" customHeight="1" x14ac:dyDescent="0.25">
      <c r="A124" s="4">
        <v>607</v>
      </c>
      <c r="B124" s="5"/>
      <c r="C124" s="4"/>
      <c r="D124" s="75"/>
      <c r="E124" s="75"/>
    </row>
    <row r="125" spans="1:5" ht="15" customHeight="1" x14ac:dyDescent="0.25">
      <c r="A125" s="4">
        <v>608</v>
      </c>
      <c r="B125" s="5"/>
      <c r="C125" s="4"/>
      <c r="D125" s="75"/>
      <c r="E125" s="75"/>
    </row>
    <row r="126" spans="1:5" ht="15" customHeight="1" x14ac:dyDescent="0.25">
      <c r="A126" s="4">
        <v>609</v>
      </c>
      <c r="B126" s="5"/>
      <c r="C126" s="4"/>
      <c r="D126" s="75"/>
      <c r="E126" s="75"/>
    </row>
    <row r="127" spans="1:5" ht="15" customHeight="1" x14ac:dyDescent="0.25">
      <c r="A127" s="4">
        <v>610</v>
      </c>
      <c r="B127" s="5"/>
      <c r="C127" s="4"/>
      <c r="D127" s="75"/>
      <c r="E127" s="75"/>
    </row>
    <row r="128" spans="1:5" ht="15" customHeight="1" x14ac:dyDescent="0.25">
      <c r="A128" s="4">
        <v>611</v>
      </c>
      <c r="B128" s="5"/>
      <c r="C128" s="4"/>
      <c r="D128" s="75"/>
      <c r="E128" s="75"/>
    </row>
    <row r="129" spans="1:5" ht="15" customHeight="1" x14ac:dyDescent="0.25">
      <c r="A129" s="4">
        <v>612</v>
      </c>
      <c r="B129" s="5"/>
      <c r="C129" s="4"/>
      <c r="D129" s="75"/>
      <c r="E129" s="75"/>
    </row>
    <row r="130" spans="1:5" ht="15" customHeight="1" x14ac:dyDescent="0.25">
      <c r="A130" s="4">
        <v>613</v>
      </c>
      <c r="B130" s="5"/>
      <c r="C130" s="4"/>
      <c r="D130" s="75"/>
      <c r="E130" s="75"/>
    </row>
    <row r="131" spans="1:5" ht="15" customHeight="1" x14ac:dyDescent="0.25">
      <c r="A131" s="4">
        <v>614</v>
      </c>
      <c r="B131" s="5"/>
      <c r="C131" s="4"/>
      <c r="D131" s="75"/>
      <c r="E131" s="75"/>
    </row>
    <row r="132" spans="1:5" ht="15" customHeight="1" x14ac:dyDescent="0.25">
      <c r="A132" s="4">
        <v>615</v>
      </c>
      <c r="B132" s="5"/>
      <c r="C132" s="4"/>
      <c r="D132" s="75"/>
      <c r="E132" s="75"/>
    </row>
    <row r="133" spans="1:5" ht="15" customHeight="1" x14ac:dyDescent="0.25">
      <c r="A133" s="4">
        <v>616</v>
      </c>
      <c r="B133" s="5"/>
      <c r="C133" s="4"/>
      <c r="D133" s="75"/>
      <c r="E133" s="75"/>
    </row>
    <row r="134" spans="1:5" ht="15" customHeight="1" x14ac:dyDescent="0.25">
      <c r="A134" s="4">
        <v>617</v>
      </c>
      <c r="B134" s="5"/>
      <c r="C134" s="4"/>
      <c r="D134" s="75"/>
      <c r="E134" s="75"/>
    </row>
    <row r="135" spans="1:5" ht="15" customHeight="1" x14ac:dyDescent="0.25">
      <c r="A135" s="4">
        <v>618</v>
      </c>
      <c r="B135" s="5"/>
      <c r="C135" s="4"/>
      <c r="D135" s="75"/>
      <c r="E135" s="75"/>
    </row>
    <row r="136" spans="1:5" ht="15" customHeight="1" x14ac:dyDescent="0.25">
      <c r="A136" s="4">
        <v>619</v>
      </c>
      <c r="B136" s="5"/>
      <c r="C136" s="4"/>
      <c r="D136" s="75"/>
      <c r="E136" s="75"/>
    </row>
    <row r="137" spans="1:5" ht="15" customHeight="1" x14ac:dyDescent="0.25">
      <c r="A137" s="4">
        <v>620</v>
      </c>
      <c r="B137" s="5"/>
      <c r="C137" s="4"/>
      <c r="D137" s="75"/>
      <c r="E137" s="75"/>
    </row>
    <row r="138" spans="1:5" ht="15" customHeight="1" x14ac:dyDescent="0.25">
      <c r="A138" s="4">
        <v>621</v>
      </c>
      <c r="B138" s="5"/>
      <c r="C138" s="4"/>
      <c r="D138" s="75"/>
      <c r="E138" s="75"/>
    </row>
    <row r="139" spans="1:5" ht="15" customHeight="1" x14ac:dyDescent="0.25">
      <c r="A139" s="4">
        <v>622</v>
      </c>
      <c r="B139" s="5"/>
      <c r="C139" s="4"/>
      <c r="D139" s="75"/>
      <c r="E139" s="75"/>
    </row>
    <row r="140" spans="1:5" ht="15" customHeight="1" x14ac:dyDescent="0.25">
      <c r="A140" s="4">
        <v>623</v>
      </c>
      <c r="B140" s="5"/>
      <c r="C140" s="4"/>
      <c r="D140" s="75"/>
      <c r="E140" s="75"/>
    </row>
    <row r="141" spans="1:5" ht="15" customHeight="1" x14ac:dyDescent="0.25">
      <c r="A141" s="4">
        <v>624</v>
      </c>
      <c r="B141" s="5"/>
      <c r="C141" s="4"/>
      <c r="D141" s="75"/>
      <c r="E141" s="75"/>
    </row>
    <row r="142" spans="1:5" ht="15" customHeight="1" x14ac:dyDescent="0.25">
      <c r="A142" s="4">
        <v>625</v>
      </c>
      <c r="B142" s="5"/>
      <c r="C142" s="4"/>
      <c r="D142" s="75"/>
      <c r="E142" s="75"/>
    </row>
    <row r="143" spans="1:5" ht="15" customHeight="1" x14ac:dyDescent="0.25">
      <c r="A143" s="4">
        <v>626</v>
      </c>
      <c r="B143" s="5"/>
      <c r="C143" s="4"/>
      <c r="D143" s="75"/>
      <c r="E143" s="75"/>
    </row>
    <row r="144" spans="1:5" ht="15" customHeight="1" x14ac:dyDescent="0.25">
      <c r="A144" s="4">
        <v>627</v>
      </c>
      <c r="B144" s="5"/>
      <c r="C144" s="4"/>
      <c r="D144" s="75"/>
      <c r="E144" s="75"/>
    </row>
    <row r="145" spans="1:5" ht="15" customHeight="1" x14ac:dyDescent="0.25">
      <c r="A145" s="4">
        <v>628</v>
      </c>
      <c r="B145" s="5"/>
      <c r="C145" s="4"/>
      <c r="D145" s="75"/>
      <c r="E145" s="75"/>
    </row>
    <row r="146" spans="1:5" ht="15" customHeight="1" x14ac:dyDescent="0.25">
      <c r="A146" s="4">
        <v>629</v>
      </c>
      <c r="B146" s="5"/>
      <c r="C146" s="4"/>
      <c r="D146" s="75"/>
      <c r="E146" s="75"/>
    </row>
    <row r="147" spans="1:5" ht="15" customHeight="1" x14ac:dyDescent="0.25">
      <c r="A147" s="4">
        <v>630</v>
      </c>
      <c r="B147" s="5"/>
      <c r="C147" s="4"/>
      <c r="D147" s="75"/>
      <c r="E147" s="75"/>
    </row>
    <row r="148" spans="1:5" ht="15" customHeight="1" x14ac:dyDescent="0.25">
      <c r="A148" s="4">
        <v>631</v>
      </c>
      <c r="B148" s="5"/>
      <c r="C148" s="4"/>
      <c r="D148" s="75"/>
      <c r="E148" s="75"/>
    </row>
    <row r="149" spans="1:5" ht="15" customHeight="1" x14ac:dyDescent="0.25">
      <c r="A149" s="4">
        <v>632</v>
      </c>
      <c r="B149" s="5"/>
      <c r="C149" s="4"/>
      <c r="D149" s="75"/>
      <c r="E149" s="75"/>
    </row>
    <row r="150" spans="1:5" ht="15" customHeight="1" x14ac:dyDescent="0.25">
      <c r="A150" s="4">
        <v>633</v>
      </c>
      <c r="B150" s="5"/>
      <c r="C150" s="4"/>
      <c r="D150" s="75"/>
      <c r="E150" s="75"/>
    </row>
    <row r="151" spans="1:5" ht="15" customHeight="1" x14ac:dyDescent="0.25">
      <c r="A151" s="4">
        <v>634</v>
      </c>
      <c r="B151" s="5"/>
      <c r="C151" s="4"/>
      <c r="D151" s="75"/>
      <c r="E151" s="75"/>
    </row>
    <row r="152" spans="1:5" ht="15" customHeight="1" x14ac:dyDescent="0.25">
      <c r="A152" s="4">
        <v>635</v>
      </c>
      <c r="B152" s="5"/>
      <c r="C152" s="4"/>
      <c r="D152" s="75"/>
      <c r="E152" s="75"/>
    </row>
    <row r="153" spans="1:5" ht="15" customHeight="1" x14ac:dyDescent="0.25">
      <c r="A153" s="4">
        <v>636</v>
      </c>
      <c r="B153" s="5"/>
      <c r="C153" s="4"/>
      <c r="D153" s="75"/>
      <c r="E153" s="75"/>
    </row>
    <row r="154" spans="1:5" ht="15" customHeight="1" x14ac:dyDescent="0.25">
      <c r="A154" s="4">
        <v>637</v>
      </c>
      <c r="B154" s="5"/>
      <c r="C154" s="4"/>
      <c r="D154" s="75"/>
      <c r="E154" s="75"/>
    </row>
    <row r="155" spans="1:5" ht="15" customHeight="1" x14ac:dyDescent="0.25">
      <c r="A155" s="4">
        <v>638</v>
      </c>
      <c r="B155" s="5"/>
      <c r="C155" s="4"/>
      <c r="D155" s="75"/>
      <c r="E155" s="75"/>
    </row>
    <row r="156" spans="1:5" ht="15" customHeight="1" x14ac:dyDescent="0.25">
      <c r="A156" s="4">
        <v>639</v>
      </c>
      <c r="B156" s="5"/>
      <c r="C156" s="4"/>
      <c r="D156" s="75"/>
      <c r="E156" s="75"/>
    </row>
    <row r="157" spans="1:5" ht="15" customHeight="1" x14ac:dyDescent="0.25">
      <c r="A157" s="4">
        <v>640</v>
      </c>
      <c r="B157" s="5"/>
      <c r="C157" s="4"/>
      <c r="D157" s="75"/>
      <c r="E157" s="75"/>
    </row>
    <row r="158" spans="1:5" ht="15" customHeight="1" x14ac:dyDescent="0.25">
      <c r="A158" s="4">
        <v>641</v>
      </c>
      <c r="B158" s="5"/>
      <c r="C158" s="4"/>
      <c r="D158" s="75"/>
      <c r="E158" s="75"/>
    </row>
    <row r="159" spans="1:5" ht="15" customHeight="1" x14ac:dyDescent="0.25">
      <c r="A159" s="4">
        <v>642</v>
      </c>
      <c r="B159" s="5"/>
      <c r="C159" s="4"/>
      <c r="D159" s="75"/>
      <c r="E159" s="75"/>
    </row>
    <row r="160" spans="1:5" ht="15" customHeight="1" x14ac:dyDescent="0.25">
      <c r="A160" s="4">
        <v>643</v>
      </c>
      <c r="B160" s="5"/>
      <c r="C160" s="4"/>
      <c r="D160" s="75"/>
      <c r="E160" s="75"/>
    </row>
    <row r="161" spans="1:5" ht="15" customHeight="1" x14ac:dyDescent="0.25">
      <c r="A161" s="4">
        <v>644</v>
      </c>
      <c r="B161" s="5"/>
      <c r="C161" s="4"/>
      <c r="D161" s="75"/>
      <c r="E161" s="75"/>
    </row>
    <row r="162" spans="1:5" ht="15" customHeight="1" x14ac:dyDescent="0.25">
      <c r="A162" s="4">
        <v>645</v>
      </c>
      <c r="B162" s="5"/>
      <c r="C162" s="4"/>
      <c r="D162" s="75"/>
      <c r="E162" s="75"/>
    </row>
    <row r="163" spans="1:5" ht="15" customHeight="1" x14ac:dyDescent="0.25">
      <c r="A163" s="4">
        <v>646</v>
      </c>
      <c r="B163" s="5"/>
      <c r="C163" s="4"/>
      <c r="D163" s="75"/>
      <c r="E163" s="75"/>
    </row>
    <row r="164" spans="1:5" ht="15" customHeight="1" x14ac:dyDescent="0.25">
      <c r="A164" s="4">
        <v>647</v>
      </c>
      <c r="B164" s="5"/>
      <c r="C164" s="4"/>
      <c r="D164" s="75"/>
      <c r="E164" s="75"/>
    </row>
    <row r="165" spans="1:5" ht="15" customHeight="1" x14ac:dyDescent="0.25">
      <c r="A165" s="4">
        <v>648</v>
      </c>
      <c r="B165" s="5"/>
      <c r="C165" s="4"/>
      <c r="D165" s="75"/>
      <c r="E165" s="75"/>
    </row>
    <row r="166" spans="1:5" ht="15" customHeight="1" x14ac:dyDescent="0.25">
      <c r="A166" s="4">
        <v>649</v>
      </c>
      <c r="B166" s="5"/>
      <c r="C166" s="4"/>
      <c r="D166" s="75"/>
      <c r="E166" s="75"/>
    </row>
    <row r="167" spans="1:5" ht="15" customHeight="1" x14ac:dyDescent="0.25">
      <c r="A167" s="4">
        <v>650</v>
      </c>
      <c r="B167" s="5"/>
      <c r="C167" s="4"/>
      <c r="D167" s="75"/>
      <c r="E167" s="75"/>
    </row>
    <row r="168" spans="1:5" ht="15" customHeight="1" x14ac:dyDescent="0.25">
      <c r="A168" s="4">
        <v>651</v>
      </c>
      <c r="B168" s="5"/>
      <c r="C168" s="4"/>
      <c r="D168" s="75"/>
      <c r="E168" s="75"/>
    </row>
    <row r="169" spans="1:5" ht="15" customHeight="1" x14ac:dyDescent="0.25">
      <c r="A169" s="4">
        <v>652</v>
      </c>
      <c r="B169" s="5"/>
      <c r="C169" s="4"/>
      <c r="D169" s="75"/>
      <c r="E169" s="75"/>
    </row>
    <row r="170" spans="1:5" ht="15" customHeight="1" x14ac:dyDescent="0.25">
      <c r="A170" s="4">
        <v>653</v>
      </c>
      <c r="B170" s="5"/>
      <c r="C170" s="4"/>
      <c r="D170" s="75"/>
      <c r="E170" s="75"/>
    </row>
    <row r="171" spans="1:5" ht="15" customHeight="1" x14ac:dyDescent="0.25">
      <c r="A171" s="4">
        <v>654</v>
      </c>
      <c r="B171" s="5"/>
      <c r="C171" s="4"/>
      <c r="D171" s="75"/>
      <c r="E171" s="75"/>
    </row>
    <row r="172" spans="1:5" ht="15" customHeight="1" x14ac:dyDescent="0.25">
      <c r="A172" s="4">
        <v>655</v>
      </c>
      <c r="B172" s="5"/>
      <c r="C172" s="4"/>
      <c r="D172" s="75"/>
      <c r="E172" s="75"/>
    </row>
    <row r="173" spans="1:5" ht="15" customHeight="1" x14ac:dyDescent="0.25">
      <c r="A173" s="4">
        <v>656</v>
      </c>
      <c r="B173" s="5"/>
      <c r="C173" s="4"/>
      <c r="D173" s="75"/>
      <c r="E173" s="75"/>
    </row>
    <row r="174" spans="1:5" ht="15" customHeight="1" x14ac:dyDescent="0.25">
      <c r="A174" s="4">
        <v>657</v>
      </c>
      <c r="B174" s="5"/>
      <c r="C174" s="4"/>
      <c r="D174" s="75"/>
      <c r="E174" s="75"/>
    </row>
    <row r="175" spans="1:5" ht="15" customHeight="1" x14ac:dyDescent="0.25">
      <c r="A175" s="4">
        <v>658</v>
      </c>
      <c r="B175" s="5"/>
      <c r="C175" s="4"/>
      <c r="D175" s="75"/>
      <c r="E175" s="75"/>
    </row>
    <row r="176" spans="1:5" ht="15" customHeight="1" x14ac:dyDescent="0.25">
      <c r="A176" s="4">
        <v>659</v>
      </c>
      <c r="B176" s="5"/>
      <c r="C176" s="4"/>
      <c r="D176" s="75"/>
      <c r="E176" s="75"/>
    </row>
    <row r="177" spans="1:5" ht="15" customHeight="1" x14ac:dyDescent="0.25">
      <c r="A177" s="4">
        <v>660</v>
      </c>
      <c r="B177" s="5"/>
      <c r="C177" s="4"/>
      <c r="D177" s="75"/>
      <c r="E177" s="75"/>
    </row>
    <row r="178" spans="1:5" ht="15" customHeight="1" x14ac:dyDescent="0.25">
      <c r="A178" s="4">
        <v>661</v>
      </c>
      <c r="B178" s="5"/>
      <c r="C178" s="4"/>
      <c r="D178" s="75"/>
      <c r="E178" s="75"/>
    </row>
    <row r="179" spans="1:5" ht="15" customHeight="1" x14ac:dyDescent="0.25">
      <c r="A179" s="4">
        <v>662</v>
      </c>
      <c r="B179" s="5"/>
      <c r="C179" s="4"/>
      <c r="D179" s="75"/>
      <c r="E179" s="75"/>
    </row>
    <row r="180" spans="1:5" ht="15" customHeight="1" x14ac:dyDescent="0.25">
      <c r="A180" s="4">
        <v>663</v>
      </c>
      <c r="B180" s="5"/>
      <c r="C180" s="4"/>
      <c r="D180" s="75"/>
      <c r="E180" s="75"/>
    </row>
    <row r="181" spans="1:5" ht="15" customHeight="1" x14ac:dyDescent="0.25">
      <c r="A181" s="4">
        <v>664</v>
      </c>
      <c r="B181" s="5"/>
      <c r="C181" s="4"/>
      <c r="D181" s="75"/>
      <c r="E181" s="75"/>
    </row>
    <row r="182" spans="1:5" ht="15" customHeight="1" x14ac:dyDescent="0.25">
      <c r="A182" s="4">
        <v>665</v>
      </c>
      <c r="B182" s="5"/>
      <c r="C182" s="4"/>
      <c r="D182" s="75"/>
      <c r="E182" s="75"/>
    </row>
    <row r="183" spans="1:5" ht="15" customHeight="1" x14ac:dyDescent="0.25">
      <c r="A183" s="4">
        <v>666</v>
      </c>
      <c r="B183" s="5"/>
      <c r="C183" s="4"/>
      <c r="D183" s="75"/>
      <c r="E183" s="75"/>
    </row>
    <row r="184" spans="1:5" ht="15" customHeight="1" x14ac:dyDescent="0.25">
      <c r="A184" s="4">
        <v>667</v>
      </c>
      <c r="B184" s="5"/>
      <c r="C184" s="4"/>
      <c r="D184" s="75"/>
      <c r="E184" s="75"/>
    </row>
    <row r="185" spans="1:5" ht="15" customHeight="1" x14ac:dyDescent="0.25">
      <c r="A185" s="4">
        <v>668</v>
      </c>
      <c r="B185" s="5"/>
      <c r="C185" s="4"/>
      <c r="D185" s="75"/>
      <c r="E185" s="75"/>
    </row>
    <row r="186" spans="1:5" ht="15" customHeight="1" x14ac:dyDescent="0.25">
      <c r="A186" s="4">
        <v>669</v>
      </c>
      <c r="B186" s="5"/>
      <c r="C186" s="4"/>
      <c r="D186" s="75"/>
      <c r="E186" s="75"/>
    </row>
    <row r="187" spans="1:5" ht="15" customHeight="1" x14ac:dyDescent="0.25">
      <c r="A187" s="4">
        <v>670</v>
      </c>
      <c r="B187" s="5"/>
      <c r="C187" s="4"/>
      <c r="D187" s="75"/>
      <c r="E187" s="75"/>
    </row>
    <row r="188" spans="1:5" ht="15" customHeight="1" x14ac:dyDescent="0.25">
      <c r="A188" s="4">
        <v>671</v>
      </c>
      <c r="B188" s="5"/>
      <c r="C188" s="4"/>
      <c r="D188" s="75"/>
      <c r="E188" s="75"/>
    </row>
    <row r="189" spans="1:5" ht="15" customHeight="1" x14ac:dyDescent="0.25">
      <c r="A189" s="4">
        <v>672</v>
      </c>
      <c r="B189" s="5"/>
      <c r="C189" s="4"/>
      <c r="D189" s="75"/>
      <c r="E189" s="75"/>
    </row>
    <row r="190" spans="1:5" ht="15" customHeight="1" x14ac:dyDescent="0.25">
      <c r="A190" s="4">
        <v>673</v>
      </c>
      <c r="B190" s="5"/>
      <c r="C190" s="4"/>
      <c r="D190" s="75"/>
      <c r="E190" s="75"/>
    </row>
    <row r="191" spans="1:5" ht="15" customHeight="1" x14ac:dyDescent="0.25">
      <c r="A191" s="4">
        <v>674</v>
      </c>
      <c r="B191" s="5"/>
      <c r="C191" s="4"/>
      <c r="D191" s="75"/>
      <c r="E191" s="75"/>
    </row>
    <row r="192" spans="1:5" ht="15" customHeight="1" x14ac:dyDescent="0.25">
      <c r="A192" s="4">
        <v>675</v>
      </c>
      <c r="B192" s="5"/>
      <c r="C192" s="4"/>
      <c r="D192" s="75"/>
      <c r="E192" s="75"/>
    </row>
    <row r="193" spans="1:5" ht="15" customHeight="1" x14ac:dyDescent="0.25">
      <c r="A193" s="4">
        <v>676</v>
      </c>
      <c r="B193" s="5"/>
      <c r="C193" s="4"/>
      <c r="D193" s="75"/>
      <c r="E193" s="75"/>
    </row>
    <row r="194" spans="1:5" ht="15" customHeight="1" x14ac:dyDescent="0.25">
      <c r="A194" s="4">
        <v>677</v>
      </c>
      <c r="B194" s="5"/>
      <c r="C194" s="4"/>
      <c r="D194" s="75"/>
      <c r="E194" s="75"/>
    </row>
    <row r="195" spans="1:5" ht="15" customHeight="1" x14ac:dyDescent="0.25">
      <c r="A195" s="4">
        <v>678</v>
      </c>
      <c r="B195" s="5"/>
      <c r="C195" s="4"/>
      <c r="D195" s="75"/>
      <c r="E195" s="75"/>
    </row>
    <row r="196" spans="1:5" ht="15" customHeight="1" x14ac:dyDescent="0.25">
      <c r="A196" s="4">
        <v>679</v>
      </c>
      <c r="B196" s="5"/>
      <c r="C196" s="4"/>
      <c r="D196" s="75"/>
      <c r="E196" s="75"/>
    </row>
    <row r="197" spans="1:5" ht="15" customHeight="1" x14ac:dyDescent="0.25">
      <c r="A197" s="4">
        <v>680</v>
      </c>
      <c r="B197" s="5"/>
      <c r="C197" s="4"/>
      <c r="D197" s="75"/>
      <c r="E197" s="75"/>
    </row>
    <row r="198" spans="1:5" ht="15" customHeight="1" x14ac:dyDescent="0.25">
      <c r="A198" s="4">
        <v>681</v>
      </c>
      <c r="B198" s="5"/>
      <c r="C198" s="4"/>
      <c r="D198" s="75"/>
      <c r="E198" s="75"/>
    </row>
    <row r="199" spans="1:5" ht="15" customHeight="1" x14ac:dyDescent="0.25">
      <c r="A199" s="4">
        <v>682</v>
      </c>
      <c r="B199" s="5"/>
      <c r="C199" s="4"/>
      <c r="D199" s="75"/>
      <c r="E199" s="75"/>
    </row>
    <row r="200" spans="1:5" ht="15" customHeight="1" x14ac:dyDescent="0.25">
      <c r="A200" s="4">
        <v>683</v>
      </c>
      <c r="B200" s="5"/>
      <c r="C200" s="4"/>
      <c r="D200" s="75"/>
      <c r="E200" s="75"/>
    </row>
    <row r="201" spans="1:5" ht="15" customHeight="1" x14ac:dyDescent="0.25">
      <c r="A201" s="4">
        <v>684</v>
      </c>
      <c r="B201" s="5"/>
      <c r="C201" s="4"/>
      <c r="D201" s="75"/>
      <c r="E201" s="75"/>
    </row>
    <row r="202" spans="1:5" ht="15" customHeight="1" x14ac:dyDescent="0.25">
      <c r="A202" s="4">
        <v>685</v>
      </c>
      <c r="B202" s="5"/>
      <c r="C202" s="4"/>
      <c r="D202" s="75"/>
      <c r="E202" s="75"/>
    </row>
    <row r="203" spans="1:5" ht="15" customHeight="1" x14ac:dyDescent="0.25">
      <c r="A203" s="4">
        <v>686</v>
      </c>
      <c r="B203" s="5"/>
      <c r="C203" s="4"/>
      <c r="D203" s="75"/>
      <c r="E203" s="75"/>
    </row>
    <row r="204" spans="1:5" ht="15" customHeight="1" x14ac:dyDescent="0.25">
      <c r="A204" s="4">
        <v>687</v>
      </c>
      <c r="B204" s="5"/>
      <c r="C204" s="4"/>
      <c r="D204" s="75"/>
      <c r="E204" s="75"/>
    </row>
    <row r="205" spans="1:5" ht="15" customHeight="1" x14ac:dyDescent="0.25">
      <c r="A205" s="4">
        <v>688</v>
      </c>
      <c r="B205" s="5"/>
      <c r="C205" s="4"/>
      <c r="D205" s="75"/>
      <c r="E205" s="75"/>
    </row>
    <row r="206" spans="1:5" ht="15" customHeight="1" x14ac:dyDescent="0.25">
      <c r="A206" s="4">
        <v>689</v>
      </c>
      <c r="B206" s="5"/>
      <c r="C206" s="4"/>
      <c r="D206" s="75"/>
      <c r="E206" s="75"/>
    </row>
    <row r="207" spans="1:5" ht="15" customHeight="1" x14ac:dyDescent="0.25">
      <c r="A207" s="4">
        <v>690</v>
      </c>
      <c r="B207" s="5"/>
      <c r="C207" s="4"/>
      <c r="D207" s="75"/>
      <c r="E207" s="75"/>
    </row>
    <row r="208" spans="1:5" ht="15" customHeight="1" x14ac:dyDescent="0.25">
      <c r="A208" s="4">
        <v>691</v>
      </c>
      <c r="B208" s="5"/>
      <c r="C208" s="4"/>
      <c r="D208" s="75"/>
      <c r="E208" s="75"/>
    </row>
    <row r="209" spans="1:5" ht="15" customHeight="1" x14ac:dyDescent="0.25">
      <c r="A209" s="4">
        <v>692</v>
      </c>
      <c r="B209" s="5"/>
      <c r="C209" s="4"/>
      <c r="D209" s="75"/>
      <c r="E209" s="75"/>
    </row>
    <row r="210" spans="1:5" ht="15" customHeight="1" x14ac:dyDescent="0.25">
      <c r="A210" s="4">
        <v>693</v>
      </c>
      <c r="B210" s="5"/>
      <c r="C210" s="4"/>
      <c r="D210" s="75"/>
      <c r="E210" s="75"/>
    </row>
    <row r="211" spans="1:5" ht="15" customHeight="1" x14ac:dyDescent="0.25">
      <c r="A211" s="4">
        <v>694</v>
      </c>
      <c r="B211" s="5"/>
      <c r="C211" s="4"/>
      <c r="D211" s="75"/>
      <c r="E211" s="75"/>
    </row>
    <row r="212" spans="1:5" ht="15" customHeight="1" x14ac:dyDescent="0.25">
      <c r="A212" s="4">
        <v>695</v>
      </c>
      <c r="B212" s="5"/>
      <c r="C212" s="4"/>
      <c r="D212" s="75"/>
      <c r="E212" s="75"/>
    </row>
    <row r="213" spans="1:5" ht="15" customHeight="1" x14ac:dyDescent="0.25">
      <c r="A213" s="4">
        <v>696</v>
      </c>
      <c r="B213" s="5"/>
      <c r="C213" s="4"/>
      <c r="D213" s="75"/>
      <c r="E213" s="75"/>
    </row>
    <row r="214" spans="1:5" ht="15" customHeight="1" x14ac:dyDescent="0.25">
      <c r="A214" s="4">
        <v>697</v>
      </c>
      <c r="B214" s="5"/>
      <c r="C214" s="4"/>
      <c r="D214" s="75"/>
      <c r="E214" s="75"/>
    </row>
    <row r="215" spans="1:5" ht="15" customHeight="1" x14ac:dyDescent="0.25">
      <c r="A215" s="4">
        <v>698</v>
      </c>
      <c r="B215" s="5"/>
      <c r="C215" s="4"/>
      <c r="D215" s="75"/>
      <c r="E215" s="75"/>
    </row>
    <row r="216" spans="1:5" ht="15" customHeight="1" x14ac:dyDescent="0.25">
      <c r="A216" s="4">
        <v>699</v>
      </c>
      <c r="B216" s="5"/>
      <c r="C216" s="4"/>
      <c r="D216" s="75"/>
      <c r="E216" s="75"/>
    </row>
    <row r="217" spans="1:5" ht="15" customHeight="1" x14ac:dyDescent="0.25">
      <c r="A217" s="4">
        <v>700</v>
      </c>
      <c r="B217" s="5"/>
      <c r="C217" s="4"/>
      <c r="D217" s="75"/>
      <c r="E217" s="75"/>
    </row>
  </sheetData>
  <autoFilter ref="A2:E217"/>
  <mergeCells count="7">
    <mergeCell ref="F2:G3"/>
    <mergeCell ref="E2:E3"/>
    <mergeCell ref="A1:E1"/>
    <mergeCell ref="A2:A3"/>
    <mergeCell ref="B2:B3"/>
    <mergeCell ref="C2:C3"/>
    <mergeCell ref="D2:D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Департамент!$A$3:$A$6</xm:f>
          </x14:formula1>
          <xm:sqref>A1:E1</xm:sqref>
        </x14:dataValidation>
        <x14:dataValidation type="list" allowBlank="1" showInputMessage="1" showErrorMessage="1">
          <x14:formula1>
            <xm:f>Должности!$A$1:$A$44</xm:f>
          </x14:formula1>
          <xm:sqref>D216:D217 D19 D5:D17</xm:sqref>
        </x14:dataValidation>
        <x14:dataValidation type="list" allowBlank="1" showInputMessage="1" showErrorMessage="1">
          <x14:formula1>
            <xm:f>Подразделения!$A$5:$A$20</xm:f>
          </x14:formula1>
          <xm:sqref>E4:E217</xm:sqref>
        </x14:dataValidation>
        <x14:dataValidation type="list" allowBlank="1" showInputMessage="1" showErrorMessage="1">
          <x14:formula1>
            <xm:f>Должности!$A$1:$A$98</xm:f>
          </x14:formula1>
          <xm:sqref>D18 D22:D26 D28:D215</xm:sqref>
        </x14:dataValidation>
        <x14:dataValidation type="list" allowBlank="1" showInputMessage="1" showErrorMessage="1">
          <x14:formula1>
            <xm:f>Должности!$A$1:$A$240</xm:f>
          </x14:formula1>
          <xm:sqref>D20:D21</xm:sqref>
        </x14:dataValidation>
        <x14:dataValidation type="list" allowBlank="1" showInputMessage="1" showErrorMessage="1">
          <x14:formula1>
            <xm:f>Должности!$A$1:$A$203</xm:f>
          </x14:formula1>
          <xm:sqref>D27</xm:sqref>
        </x14:dataValidation>
        <x14:dataValidation type="list" allowBlank="1" showInputMessage="1" showErrorMessage="1">
          <x14:formula1>
            <xm:f>Должности!$A$1:$A$92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95"/>
  <sheetViews>
    <sheetView topLeftCell="A43" workbookViewId="0">
      <selection activeCell="A26" sqref="A26"/>
    </sheetView>
  </sheetViews>
  <sheetFormatPr defaultRowHeight="15" x14ac:dyDescent="0.25"/>
  <cols>
    <col min="1" max="1" width="72.28515625" style="76" customWidth="1"/>
  </cols>
  <sheetData>
    <row r="4" spans="1:1" x14ac:dyDescent="0.25">
      <c r="A4" s="76" t="s">
        <v>221</v>
      </c>
    </row>
    <row r="5" spans="1:1" x14ac:dyDescent="0.25">
      <c r="A5" s="76" t="s">
        <v>69</v>
      </c>
    </row>
    <row r="6" spans="1:1" x14ac:dyDescent="0.25">
      <c r="A6" s="76" t="s">
        <v>70</v>
      </c>
    </row>
    <row r="7" spans="1:1" ht="14.45" customHeight="1" x14ac:dyDescent="0.25">
      <c r="A7" s="76" t="s">
        <v>71</v>
      </c>
    </row>
    <row r="8" spans="1:1" x14ac:dyDescent="0.25">
      <c r="A8" s="76" t="s">
        <v>80</v>
      </c>
    </row>
    <row r="9" spans="1:1" x14ac:dyDescent="0.25">
      <c r="A9" s="76" t="s">
        <v>81</v>
      </c>
    </row>
    <row r="10" spans="1:1" x14ac:dyDescent="0.25">
      <c r="A10" s="76" t="s">
        <v>82</v>
      </c>
    </row>
    <row r="11" spans="1:1" x14ac:dyDescent="0.25">
      <c r="A11" s="76" t="s">
        <v>221</v>
      </c>
    </row>
    <row r="12" spans="1:1" ht="14.45" customHeight="1" x14ac:dyDescent="0.25">
      <c r="A12" s="76" t="s">
        <v>73</v>
      </c>
    </row>
    <row r="13" spans="1:1" ht="14.45" customHeight="1" x14ac:dyDescent="0.25">
      <c r="A13" s="76" t="s">
        <v>72</v>
      </c>
    </row>
    <row r="14" spans="1:1" ht="14.45" customHeight="1" x14ac:dyDescent="0.25">
      <c r="A14" s="76" t="s">
        <v>77</v>
      </c>
    </row>
    <row r="15" spans="1:1" ht="14.45" customHeight="1" x14ac:dyDescent="0.25">
      <c r="A15" s="76" t="s">
        <v>74</v>
      </c>
    </row>
    <row r="16" spans="1:1" ht="14.45" customHeight="1" x14ac:dyDescent="0.25">
      <c r="A16" s="76" t="s">
        <v>75</v>
      </c>
    </row>
    <row r="17" spans="1:1" x14ac:dyDescent="0.25">
      <c r="A17" s="76" t="s">
        <v>78</v>
      </c>
    </row>
    <row r="18" spans="1:1" x14ac:dyDescent="0.25">
      <c r="A18" s="76" t="s">
        <v>79</v>
      </c>
    </row>
    <row r="19" spans="1:1" ht="14.45" customHeight="1" x14ac:dyDescent="0.25">
      <c r="A19" s="76" t="s">
        <v>76</v>
      </c>
    </row>
    <row r="20" spans="1:1" x14ac:dyDescent="0.25">
      <c r="A20" s="76" t="s">
        <v>83</v>
      </c>
    </row>
    <row r="21" spans="1:1" x14ac:dyDescent="0.25">
      <c r="A21" s="76" t="s">
        <v>144</v>
      </c>
    </row>
    <row r="22" spans="1:1" ht="30" x14ac:dyDescent="0.25">
      <c r="A22" s="76" t="s">
        <v>153</v>
      </c>
    </row>
    <row r="23" spans="1:1" ht="30" x14ac:dyDescent="0.25">
      <c r="A23" s="76" t="s">
        <v>155</v>
      </c>
    </row>
    <row r="24" spans="1:1" x14ac:dyDescent="0.25">
      <c r="A24" s="76" t="s">
        <v>156</v>
      </c>
    </row>
    <row r="25" spans="1:1" x14ac:dyDescent="0.25">
      <c r="A25" s="76" t="s">
        <v>168</v>
      </c>
    </row>
    <row r="26" spans="1:1" ht="30" x14ac:dyDescent="0.25">
      <c r="A26" s="76" t="s">
        <v>276</v>
      </c>
    </row>
    <row r="29" spans="1:1" ht="14.45" customHeight="1" x14ac:dyDescent="0.25"/>
    <row r="34" ht="14.45" customHeight="1" x14ac:dyDescent="0.25"/>
    <row r="39" ht="14.45" customHeight="1" x14ac:dyDescent="0.25"/>
    <row r="51" ht="14.45" customHeight="1" x14ac:dyDescent="0.25"/>
    <row r="62" ht="14.45" customHeight="1" x14ac:dyDescent="0.25"/>
    <row r="64" ht="14.45" customHeight="1" x14ac:dyDescent="0.25"/>
    <row r="68" ht="14.45" customHeight="1" x14ac:dyDescent="0.25"/>
    <row r="75" ht="14.45" customHeight="1" x14ac:dyDescent="0.25"/>
    <row r="80" ht="14.45" customHeight="1" x14ac:dyDescent="0.25"/>
    <row r="86" ht="14.45" customHeight="1" x14ac:dyDescent="0.25"/>
    <row r="93" ht="14.45" customHeight="1" x14ac:dyDescent="0.25"/>
    <row r="95" ht="14.4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opLeftCell="A76" workbookViewId="0">
      <selection activeCell="A92" sqref="A92"/>
    </sheetView>
  </sheetViews>
  <sheetFormatPr defaultRowHeight="15" x14ac:dyDescent="0.25"/>
  <cols>
    <col min="1" max="1" width="102.140625" customWidth="1"/>
    <col min="2" max="2" width="9.85546875" customWidth="1"/>
  </cols>
  <sheetData>
    <row r="1" spans="1:1" x14ac:dyDescent="0.25">
      <c r="A1" t="s">
        <v>220</v>
      </c>
    </row>
    <row r="2" spans="1:1" x14ac:dyDescent="0.25">
      <c r="A2" t="s">
        <v>46</v>
      </c>
    </row>
    <row r="3" spans="1:1" x14ac:dyDescent="0.25">
      <c r="A3" t="s">
        <v>59</v>
      </c>
    </row>
    <row r="4" spans="1:1" x14ac:dyDescent="0.25">
      <c r="A4" t="s">
        <v>45</v>
      </c>
    </row>
    <row r="5" spans="1:1" x14ac:dyDescent="0.25">
      <c r="A5" t="s">
        <v>47</v>
      </c>
    </row>
    <row r="6" spans="1:1" x14ac:dyDescent="0.25">
      <c r="A6" t="s">
        <v>131</v>
      </c>
    </row>
    <row r="7" spans="1:1" x14ac:dyDescent="0.25">
      <c r="A7" t="s">
        <v>182</v>
      </c>
    </row>
    <row r="8" spans="1:1" x14ac:dyDescent="0.25">
      <c r="A8" t="s">
        <v>44</v>
      </c>
    </row>
    <row r="9" spans="1:1" x14ac:dyDescent="0.25">
      <c r="A9" t="s">
        <v>184</v>
      </c>
    </row>
    <row r="10" spans="1:1" x14ac:dyDescent="0.25">
      <c r="A10" t="s">
        <v>40</v>
      </c>
    </row>
    <row r="11" spans="1:1" x14ac:dyDescent="0.25">
      <c r="A11" t="s">
        <v>45</v>
      </c>
    </row>
    <row r="12" spans="1:1" x14ac:dyDescent="0.25">
      <c r="A12" t="s">
        <v>65</v>
      </c>
    </row>
    <row r="13" spans="1:1" x14ac:dyDescent="0.25">
      <c r="A13" t="s">
        <v>183</v>
      </c>
    </row>
    <row r="14" spans="1:1" x14ac:dyDescent="0.25">
      <c r="A14" t="s">
        <v>130</v>
      </c>
    </row>
    <row r="15" spans="1:1" x14ac:dyDescent="0.25">
      <c r="A15" t="s">
        <v>26</v>
      </c>
    </row>
    <row r="16" spans="1:1" x14ac:dyDescent="0.25">
      <c r="A16" t="s">
        <v>191</v>
      </c>
    </row>
    <row r="17" spans="1:1" x14ac:dyDescent="0.25">
      <c r="A17" t="s">
        <v>41</v>
      </c>
    </row>
    <row r="18" spans="1:1" x14ac:dyDescent="0.25">
      <c r="A18" t="s">
        <v>129</v>
      </c>
    </row>
    <row r="19" spans="1:1" x14ac:dyDescent="0.25">
      <c r="A19" t="s">
        <v>55</v>
      </c>
    </row>
    <row r="20" spans="1:1" x14ac:dyDescent="0.25">
      <c r="A20" t="s">
        <v>39</v>
      </c>
    </row>
    <row r="21" spans="1:1" x14ac:dyDescent="0.25">
      <c r="A21" t="s">
        <v>132</v>
      </c>
    </row>
    <row r="22" spans="1:1" x14ac:dyDescent="0.25">
      <c r="A22" t="s">
        <v>42</v>
      </c>
    </row>
    <row r="23" spans="1:1" x14ac:dyDescent="0.25">
      <c r="A23" t="s">
        <v>46</v>
      </c>
    </row>
    <row r="24" spans="1:1" x14ac:dyDescent="0.25">
      <c r="A24" t="s">
        <v>52</v>
      </c>
    </row>
    <row r="25" spans="1:1" x14ac:dyDescent="0.25">
      <c r="A25" t="s">
        <v>181</v>
      </c>
    </row>
    <row r="26" spans="1:1" x14ac:dyDescent="0.25">
      <c r="A26" t="s">
        <v>54</v>
      </c>
    </row>
    <row r="27" spans="1:1" x14ac:dyDescent="0.25">
      <c r="A27" t="s">
        <v>192</v>
      </c>
    </row>
    <row r="28" spans="1:1" x14ac:dyDescent="0.25">
      <c r="A28" t="s">
        <v>25</v>
      </c>
    </row>
    <row r="29" spans="1:1" x14ac:dyDescent="0.25">
      <c r="A29" t="s">
        <v>36</v>
      </c>
    </row>
    <row r="30" spans="1:1" x14ac:dyDescent="0.25">
      <c r="A30" t="s">
        <v>61</v>
      </c>
    </row>
    <row r="31" spans="1:1" x14ac:dyDescent="0.25">
      <c r="A31" t="s">
        <v>63</v>
      </c>
    </row>
    <row r="32" spans="1:1" x14ac:dyDescent="0.25">
      <c r="A32" t="s">
        <v>66</v>
      </c>
    </row>
    <row r="33" spans="1:1" x14ac:dyDescent="0.25">
      <c r="A33" t="s">
        <v>128</v>
      </c>
    </row>
    <row r="34" spans="1:1" x14ac:dyDescent="0.25">
      <c r="A34" t="s">
        <v>53</v>
      </c>
    </row>
    <row r="35" spans="1:1" x14ac:dyDescent="0.25">
      <c r="A35" t="s">
        <v>48</v>
      </c>
    </row>
    <row r="36" spans="1:1" x14ac:dyDescent="0.25">
      <c r="A36" t="s">
        <v>37</v>
      </c>
    </row>
    <row r="37" spans="1:1" x14ac:dyDescent="0.25">
      <c r="A37" t="s">
        <v>51</v>
      </c>
    </row>
    <row r="38" spans="1:1" x14ac:dyDescent="0.25">
      <c r="A38" t="s">
        <v>127</v>
      </c>
    </row>
    <row r="39" spans="1:1" x14ac:dyDescent="0.25">
      <c r="A39" t="s">
        <v>62</v>
      </c>
    </row>
    <row r="40" spans="1:1" x14ac:dyDescent="0.25">
      <c r="A40" t="s">
        <v>57</v>
      </c>
    </row>
    <row r="41" spans="1:1" x14ac:dyDescent="0.25">
      <c r="A41" t="s">
        <v>38</v>
      </c>
    </row>
    <row r="42" spans="1:1" x14ac:dyDescent="0.25">
      <c r="A42" t="s">
        <v>43</v>
      </c>
    </row>
    <row r="43" spans="1:1" x14ac:dyDescent="0.25">
      <c r="A43" t="s">
        <v>67</v>
      </c>
    </row>
    <row r="44" spans="1:1" x14ac:dyDescent="0.25">
      <c r="A44" t="s">
        <v>60</v>
      </c>
    </row>
    <row r="45" spans="1:1" x14ac:dyDescent="0.25">
      <c r="A45" t="s">
        <v>58</v>
      </c>
    </row>
    <row r="46" spans="1:1" x14ac:dyDescent="0.25">
      <c r="A46" t="s">
        <v>68</v>
      </c>
    </row>
    <row r="47" spans="1:1" x14ac:dyDescent="0.25">
      <c r="A47" t="s">
        <v>56</v>
      </c>
    </row>
    <row r="48" spans="1:1" x14ac:dyDescent="0.25">
      <c r="A48" t="s">
        <v>50</v>
      </c>
    </row>
    <row r="49" spans="1:1" x14ac:dyDescent="0.25">
      <c r="A49" t="s">
        <v>49</v>
      </c>
    </row>
    <row r="50" spans="1:1" x14ac:dyDescent="0.25">
      <c r="A50" t="s">
        <v>133</v>
      </c>
    </row>
    <row r="51" spans="1:1" x14ac:dyDescent="0.25">
      <c r="A51" t="s">
        <v>134</v>
      </c>
    </row>
    <row r="52" spans="1:1" x14ac:dyDescent="0.25">
      <c r="A52" t="s">
        <v>135</v>
      </c>
    </row>
    <row r="53" spans="1:1" x14ac:dyDescent="0.25">
      <c r="A53" t="s">
        <v>136</v>
      </c>
    </row>
    <row r="54" spans="1:1" x14ac:dyDescent="0.25">
      <c r="A54" t="s">
        <v>137</v>
      </c>
    </row>
    <row r="55" spans="1:1" x14ac:dyDescent="0.25">
      <c r="A55" t="s">
        <v>138</v>
      </c>
    </row>
    <row r="56" spans="1:1" x14ac:dyDescent="0.25">
      <c r="A56" t="s">
        <v>64</v>
      </c>
    </row>
    <row r="57" spans="1:1" x14ac:dyDescent="0.25">
      <c r="A57" t="s">
        <v>139</v>
      </c>
    </row>
    <row r="58" spans="1:1" x14ac:dyDescent="0.25">
      <c r="A58" t="s">
        <v>140</v>
      </c>
    </row>
    <row r="59" spans="1:1" x14ac:dyDescent="0.25">
      <c r="A59" t="s">
        <v>141</v>
      </c>
    </row>
    <row r="60" spans="1:1" x14ac:dyDescent="0.25">
      <c r="A60" t="s">
        <v>142</v>
      </c>
    </row>
    <row r="61" spans="1:1" x14ac:dyDescent="0.25">
      <c r="A61" t="s">
        <v>143</v>
      </c>
    </row>
    <row r="62" spans="1:1" x14ac:dyDescent="0.25">
      <c r="A62" t="s">
        <v>145</v>
      </c>
    </row>
    <row r="63" spans="1:1" x14ac:dyDescent="0.25">
      <c r="A63" t="s">
        <v>146</v>
      </c>
    </row>
    <row r="64" spans="1:1" x14ac:dyDescent="0.25">
      <c r="A64" t="s">
        <v>48</v>
      </c>
    </row>
    <row r="65" spans="1:1" x14ac:dyDescent="0.25">
      <c r="A65" t="s">
        <v>147</v>
      </c>
    </row>
    <row r="66" spans="1:1" x14ac:dyDescent="0.25">
      <c r="A66" t="s">
        <v>148</v>
      </c>
    </row>
    <row r="67" spans="1:1" x14ac:dyDescent="0.25">
      <c r="A67" t="s">
        <v>149</v>
      </c>
    </row>
    <row r="68" spans="1:1" x14ac:dyDescent="0.25">
      <c r="A68" t="s">
        <v>150</v>
      </c>
    </row>
    <row r="69" spans="1:1" x14ac:dyDescent="0.25">
      <c r="A69" t="s">
        <v>151</v>
      </c>
    </row>
    <row r="70" spans="1:1" x14ac:dyDescent="0.25">
      <c r="A70" t="s">
        <v>152</v>
      </c>
    </row>
    <row r="71" spans="1:1" x14ac:dyDescent="0.25">
      <c r="A71" t="s">
        <v>154</v>
      </c>
    </row>
    <row r="72" spans="1:1" x14ac:dyDescent="0.25">
      <c r="A72" t="s">
        <v>157</v>
      </c>
    </row>
    <row r="73" spans="1:1" x14ac:dyDescent="0.25">
      <c r="A73" t="s">
        <v>158</v>
      </c>
    </row>
    <row r="74" spans="1:1" x14ac:dyDescent="0.25">
      <c r="A74" t="s">
        <v>159</v>
      </c>
    </row>
    <row r="75" spans="1:1" x14ac:dyDescent="0.25">
      <c r="A75" t="s">
        <v>160</v>
      </c>
    </row>
    <row r="76" spans="1:1" x14ac:dyDescent="0.25">
      <c r="A76" t="s">
        <v>161</v>
      </c>
    </row>
    <row r="77" spans="1:1" x14ac:dyDescent="0.25">
      <c r="A77" t="s">
        <v>162</v>
      </c>
    </row>
    <row r="78" spans="1:1" x14ac:dyDescent="0.25">
      <c r="A78" t="s">
        <v>163</v>
      </c>
    </row>
    <row r="79" spans="1:1" x14ac:dyDescent="0.25">
      <c r="A79" t="s">
        <v>164</v>
      </c>
    </row>
    <row r="80" spans="1:1" x14ac:dyDescent="0.25">
      <c r="A80" t="s">
        <v>165</v>
      </c>
    </row>
    <row r="81" spans="1:1" x14ac:dyDescent="0.25">
      <c r="A81" t="s">
        <v>166</v>
      </c>
    </row>
    <row r="82" spans="1:1" x14ac:dyDescent="0.25">
      <c r="A82" t="s">
        <v>167</v>
      </c>
    </row>
    <row r="83" spans="1:1" x14ac:dyDescent="0.25">
      <c r="A83" t="s">
        <v>169</v>
      </c>
    </row>
    <row r="84" spans="1:1" x14ac:dyDescent="0.25">
      <c r="A84" t="s">
        <v>170</v>
      </c>
    </row>
    <row r="85" spans="1:1" x14ac:dyDescent="0.25">
      <c r="A85" t="s">
        <v>171</v>
      </c>
    </row>
    <row r="86" spans="1:1" x14ac:dyDescent="0.25">
      <c r="A86" t="s">
        <v>172</v>
      </c>
    </row>
    <row r="87" spans="1:1" x14ac:dyDescent="0.25">
      <c r="A87" t="s">
        <v>173</v>
      </c>
    </row>
    <row r="88" spans="1:1" x14ac:dyDescent="0.25">
      <c r="A88" t="s">
        <v>174</v>
      </c>
    </row>
    <row r="89" spans="1:1" x14ac:dyDescent="0.25">
      <c r="A89" t="s">
        <v>181</v>
      </c>
    </row>
    <row r="90" spans="1:1" x14ac:dyDescent="0.25">
      <c r="A90" t="s">
        <v>185</v>
      </c>
    </row>
    <row r="91" spans="1:1" x14ac:dyDescent="0.25">
      <c r="A91" t="s">
        <v>186</v>
      </c>
    </row>
    <row r="92" spans="1:1" x14ac:dyDescent="0.25">
      <c r="A92" t="s">
        <v>187</v>
      </c>
    </row>
    <row r="93" spans="1:1" x14ac:dyDescent="0.25">
      <c r="A93" t="s">
        <v>188</v>
      </c>
    </row>
    <row r="94" spans="1:1" x14ac:dyDescent="0.25">
      <c r="A94" t="s">
        <v>189</v>
      </c>
    </row>
    <row r="95" spans="1:1" x14ac:dyDescent="0.25">
      <c r="A95" t="s">
        <v>190</v>
      </c>
    </row>
  </sheetData>
  <sortState ref="A1:A50">
    <sortCondition ref="A5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133"/>
  <sheetViews>
    <sheetView showGridLines="0" zoomScale="130" zoomScaleNormal="13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9" sqref="E9"/>
    </sheetView>
  </sheetViews>
  <sheetFormatPr defaultColWidth="8.85546875" defaultRowHeight="15" x14ac:dyDescent="0.25"/>
  <cols>
    <col min="1" max="1" width="5.28515625" style="1" customWidth="1"/>
    <col min="2" max="2" width="17.7109375" style="2" customWidth="1"/>
    <col min="3" max="3" width="31.140625" style="1" customWidth="1"/>
    <col min="4" max="4" width="39.42578125" style="1" customWidth="1"/>
    <col min="5" max="5" width="44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customWidth="1"/>
    <col min="12" max="14" width="8.85546875" style="2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2" width="8.85546875" style="2" customWidth="1"/>
    <col min="23" max="26" width="8.85546875" style="2"/>
    <col min="27" max="27" width="12.140625" style="2" customWidth="1"/>
    <col min="28" max="28" width="12.7109375" style="2" customWidth="1"/>
    <col min="29" max="29" width="9.7109375" style="2" customWidth="1"/>
    <col min="30" max="30" width="10.28515625" style="2" customWidth="1"/>
    <col min="31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1" t="s">
        <v>180</v>
      </c>
      <c r="B1" s="121"/>
      <c r="C1" s="121"/>
      <c r="D1" s="121"/>
      <c r="E1" s="8" t="s">
        <v>107</v>
      </c>
      <c r="F1" s="9" t="s">
        <v>119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137" t="s">
        <v>15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0" s="3" customFormat="1" ht="51" customHeight="1" x14ac:dyDescent="0.25">
      <c r="A5" s="134"/>
      <c r="B5" s="134"/>
      <c r="C5" s="134"/>
      <c r="D5" s="134"/>
      <c r="E5" s="134"/>
      <c r="F5" s="136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78" t="str">
        <f>сотрудники!B5</f>
        <v>166</v>
      </c>
      <c r="C6" s="71" t="str">
        <f>IF(B6&lt;&gt;0,(VLOOKUP($B6,сотрудники!$B$4:$D$217,2,0)),0)</f>
        <v>Агеев В.А.</v>
      </c>
      <c r="D6" s="71" t="str">
        <f>IF(C6&lt;&gt;0,(VLOOKUP($B6,сотрудники!$B$4:$D$217,3,0)),0)</f>
        <v>Ведущий инженер</v>
      </c>
      <c r="E6" s="71" t="str">
        <f>IF(D6&lt;&gt;0,(VLOOKUP($B6,сотрудники!$B$4:$E$217,4,0)),0)</f>
        <v>ИТС / Отдел главного энергетика</v>
      </c>
      <c r="F6" s="72">
        <f t="shared" ref="F6:F16" si="0">SUM(G6:AZ6)</f>
        <v>104</v>
      </c>
      <c r="G6" s="73"/>
      <c r="H6" s="73"/>
      <c r="I6" s="73"/>
      <c r="J6" s="73"/>
      <c r="K6" s="73"/>
      <c r="L6" s="73"/>
      <c r="M6" s="73"/>
      <c r="N6" s="72">
        <v>104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78" t="str">
        <f>сотрудники!B6</f>
        <v>167</v>
      </c>
      <c r="C7" s="71" t="str">
        <f>IF(B7&lt;&gt;0,(VLOOKUP($B7,сотрудники!$B$4:$D$217,2,0)),0)</f>
        <v>Линев А.В.</v>
      </c>
      <c r="D7" s="71" t="str">
        <f>IF(C7&lt;&gt;0,(VLOOKUP($B7,сотрудники!$B$4:$D$217,3,0)),0)</f>
        <v>Ведущий инженер</v>
      </c>
      <c r="E7" s="71">
        <f>IF(D7&lt;&gt;0,(VLOOKUP($B7,сотрудники!$B$4:$E$217,4,0)),0)</f>
        <v>0</v>
      </c>
      <c r="F7" s="72">
        <f t="shared" si="0"/>
        <v>104</v>
      </c>
      <c r="G7" s="73"/>
      <c r="H7" s="73"/>
      <c r="I7" s="73"/>
      <c r="J7" s="73"/>
      <c r="K7" s="73"/>
      <c r="L7" s="73"/>
      <c r="M7" s="73"/>
      <c r="N7" s="72">
        <v>104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</row>
    <row r="8" spans="1:40" x14ac:dyDescent="0.25">
      <c r="A8" s="71">
        <v>3</v>
      </c>
      <c r="B8" s="78" t="str">
        <f>сотрудники!B7</f>
        <v>163</v>
      </c>
      <c r="C8" s="71" t="str">
        <f>IF(B8&lt;&gt;0,(VLOOKUP($B8,сотрудники!$B$4:$D$217,2,0)),0)</f>
        <v>Меньщиков А.В.</v>
      </c>
      <c r="D8" s="71" t="str">
        <f>IF(C8&lt;&gt;0,(VLOOKUP($B8,сотрудники!$B$4:$D$217,3,0)),0)</f>
        <v>Ведущий инженер</v>
      </c>
      <c r="E8" s="71">
        <f>IF(D8&lt;&gt;0,(VLOOKUP($B8,сотрудники!$B$4:$E$217,4,0)),0)</f>
        <v>0</v>
      </c>
      <c r="F8" s="72">
        <f t="shared" si="0"/>
        <v>104</v>
      </c>
      <c r="G8" s="73"/>
      <c r="H8" s="73"/>
      <c r="I8" s="73"/>
      <c r="J8" s="73"/>
      <c r="K8" s="73"/>
      <c r="L8" s="73"/>
      <c r="M8" s="73"/>
      <c r="N8" s="72">
        <v>104</v>
      </c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</row>
    <row r="9" spans="1:40" x14ac:dyDescent="0.25">
      <c r="A9" s="71">
        <v>4</v>
      </c>
      <c r="B9" s="78">
        <f>сотрудники!B8</f>
        <v>0</v>
      </c>
      <c r="C9" s="71">
        <f>IF(B9&lt;&gt;0,(VLOOKUP($B9,сотрудники!$B$4:$D$217,2,0)),0)</f>
        <v>0</v>
      </c>
      <c r="D9" s="71">
        <f>IF(C9&lt;&gt;0,(VLOOKUP($B9,сотрудники!$B$4:$D$217,3,0)),0)</f>
        <v>0</v>
      </c>
      <c r="E9" s="71">
        <f>IF(D9&lt;&gt;0,(VLOOKUP($B9,сотрудники!$B$4:$E$217,4,0)),0)</f>
        <v>0</v>
      </c>
      <c r="F9" s="72">
        <f t="shared" si="0"/>
        <v>104</v>
      </c>
      <c r="G9" s="73"/>
      <c r="H9" s="73"/>
      <c r="I9" s="73"/>
      <c r="J9" s="73"/>
      <c r="K9" s="73"/>
      <c r="L9" s="73"/>
      <c r="M9" s="73"/>
      <c r="N9" s="72">
        <v>104</v>
      </c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</row>
    <row r="10" spans="1:40" x14ac:dyDescent="0.25">
      <c r="A10" s="71">
        <v>5</v>
      </c>
      <c r="B10" s="78">
        <f>сотрудники!B9</f>
        <v>0</v>
      </c>
      <c r="C10" s="71">
        <f>IF(B10&lt;&gt;0,(VLOOKUP($B10,сотрудники!$B$4:$D$217,2,0)),0)</f>
        <v>0</v>
      </c>
      <c r="D10" s="71">
        <f>IF(C10&lt;&gt;0,(VLOOKUP($B10,сотрудники!$B$4:$D$217,3,0)),0)</f>
        <v>0</v>
      </c>
      <c r="E10" s="71">
        <f>IF(D10&lt;&gt;0,(VLOOKUP($B10,сотрудники!$B$4:$E$217,4,0)),0)</f>
        <v>0</v>
      </c>
      <c r="F10" s="72">
        <f t="shared" si="0"/>
        <v>88</v>
      </c>
      <c r="G10" s="73"/>
      <c r="H10" s="73"/>
      <c r="I10" s="73"/>
      <c r="J10" s="73"/>
      <c r="K10" s="73"/>
      <c r="L10" s="73"/>
      <c r="M10" s="73"/>
      <c r="N10" s="72">
        <v>88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</row>
    <row r="11" spans="1:40" x14ac:dyDescent="0.25">
      <c r="A11" s="71">
        <v>6</v>
      </c>
      <c r="B11" s="78">
        <f>сотрудники!B10</f>
        <v>0</v>
      </c>
      <c r="C11" s="71">
        <f>IF(B11&lt;&gt;0,(VLOOKUP($B11,сотрудники!$B$4:$D$217,2,0)),0)</f>
        <v>0</v>
      </c>
      <c r="D11" s="71">
        <f>IF(C11&lt;&gt;0,(VLOOKUP($B11,сотрудники!$B$4:$D$217,3,0)),0)</f>
        <v>0</v>
      </c>
      <c r="E11" s="71">
        <f>IF(D11&lt;&gt;0,(VLOOKUP($B11,сотрудники!$B$4:$E$217,4,0)),0)</f>
        <v>0</v>
      </c>
      <c r="F11" s="72">
        <f t="shared" si="0"/>
        <v>24</v>
      </c>
      <c r="G11" s="73"/>
      <c r="H11" s="73"/>
      <c r="I11" s="73"/>
      <c r="J11" s="73"/>
      <c r="K11" s="73"/>
      <c r="L11" s="73"/>
      <c r="M11" s="73"/>
      <c r="N11" s="72">
        <v>24</v>
      </c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</row>
    <row r="12" spans="1:40" x14ac:dyDescent="0.25">
      <c r="A12" s="71">
        <v>7</v>
      </c>
      <c r="B12" s="78">
        <f>сотрудники!B11</f>
        <v>0</v>
      </c>
      <c r="C12" s="71">
        <f>IF(B12&lt;&gt;0,(VLOOKUP($B12,сотрудники!$B$4:$D$217,2,0)),0)</f>
        <v>0</v>
      </c>
      <c r="D12" s="71">
        <f>IF(C12&lt;&gt;0,(VLOOKUP($B12,сотрудники!$B$4:$D$217,3,0)),0)</f>
        <v>0</v>
      </c>
      <c r="E12" s="71">
        <f>IF(D12&lt;&gt;0,(VLOOKUP($B12,сотрудники!$B$4:$E$217,4,0)),0)</f>
        <v>0</v>
      </c>
      <c r="F12" s="72">
        <f t="shared" si="0"/>
        <v>104</v>
      </c>
      <c r="G12" s="73"/>
      <c r="H12" s="73"/>
      <c r="I12" s="73"/>
      <c r="J12" s="73"/>
      <c r="K12" s="73"/>
      <c r="L12" s="73"/>
      <c r="M12" s="73"/>
      <c r="N12" s="72">
        <v>104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x14ac:dyDescent="0.25">
      <c r="A13" s="71">
        <v>8</v>
      </c>
      <c r="B13" s="78">
        <f>сотрудники!B12</f>
        <v>0</v>
      </c>
      <c r="C13" s="71">
        <f>IF(B13&lt;&gt;0,(VLOOKUP($B13,сотрудники!$B$4:$D$217,2,0)),0)</f>
        <v>0</v>
      </c>
      <c r="D13" s="71">
        <f>IF(C13&lt;&gt;0,(VLOOKUP($B13,сотрудники!$B$4:$D$217,3,0)),0)</f>
        <v>0</v>
      </c>
      <c r="E13" s="71">
        <f>IF(D13&lt;&gt;0,(VLOOKUP($B13,сотрудники!$B$4:$E$217,4,0)),0)</f>
        <v>0</v>
      </c>
      <c r="F13" s="72">
        <f t="shared" si="0"/>
        <v>104</v>
      </c>
      <c r="G13" s="73"/>
      <c r="H13" s="73"/>
      <c r="I13" s="73"/>
      <c r="J13" s="73"/>
      <c r="K13" s="73"/>
      <c r="L13" s="73"/>
      <c r="M13" s="73"/>
      <c r="N13" s="72">
        <v>104</v>
      </c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x14ac:dyDescent="0.25">
      <c r="A14" s="71">
        <v>9</v>
      </c>
      <c r="B14" s="78">
        <f>сотрудники!B15</f>
        <v>0</v>
      </c>
      <c r="C14" s="71">
        <f>IF(B14&lt;&gt;0,(VLOOKUP($B14,сотрудники!$B$4:$D$217,2,0)),0)</f>
        <v>0</v>
      </c>
      <c r="D14" s="71">
        <f>IF(C14&lt;&gt;0,(VLOOKUP($B14,сотрудники!$B$4:$D$217,3,0)),0)</f>
        <v>0</v>
      </c>
      <c r="E14" s="71">
        <f>IF(D14&lt;&gt;0,(VLOOKUP($B14,сотрудники!$B$4:$E$217,4,0)),0)</f>
        <v>0</v>
      </c>
      <c r="F14" s="72">
        <f t="shared" si="0"/>
        <v>104</v>
      </c>
      <c r="G14" s="73"/>
      <c r="H14" s="73"/>
      <c r="I14" s="73"/>
      <c r="J14" s="73"/>
      <c r="K14" s="73"/>
      <c r="L14" s="73"/>
      <c r="M14" s="73"/>
      <c r="N14" s="72">
        <v>104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x14ac:dyDescent="0.25">
      <c r="A15" s="71">
        <v>10</v>
      </c>
      <c r="B15" s="78">
        <f>сотрудники!B19</f>
        <v>0</v>
      </c>
      <c r="C15" s="71">
        <f>IF(B15&lt;&gt;0,(VLOOKUP($B15,сотрудники!$B$4:$D$217,2,0)),0)</f>
        <v>0</v>
      </c>
      <c r="D15" s="71">
        <f>IF(C15&lt;&gt;0,(VLOOKUP($B15,сотрудники!$B$4:$D$217,3,0)),0)</f>
        <v>0</v>
      </c>
      <c r="E15" s="71">
        <f>IF(D15&lt;&gt;0,(VLOOKUP($B15,сотрудники!$B$4:$E$217,4,0)),0)</f>
        <v>0</v>
      </c>
      <c r="F15" s="72">
        <f t="shared" si="0"/>
        <v>104</v>
      </c>
      <c r="G15" s="73"/>
      <c r="H15" s="73"/>
      <c r="I15" s="73"/>
      <c r="J15" s="73"/>
      <c r="K15" s="73"/>
      <c r="L15" s="73"/>
      <c r="M15" s="73"/>
      <c r="N15" s="72">
        <v>104</v>
      </c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</row>
    <row r="16" spans="1:40" x14ac:dyDescent="0.25">
      <c r="A16" s="71">
        <v>11</v>
      </c>
      <c r="B16" s="78">
        <f>сотрудники!B20</f>
        <v>0</v>
      </c>
      <c r="C16" s="71">
        <f>IF(B16&lt;&gt;0,(VLOOKUP($B16,сотрудники!$B$4:$D$217,2,0)),0)</f>
        <v>0</v>
      </c>
      <c r="D16" s="71">
        <f>IF(C16&lt;&gt;0,(VLOOKUP($B16,сотрудники!$B$4:$D$217,3,0)),0)</f>
        <v>0</v>
      </c>
      <c r="E16" s="71">
        <f>IF(D16&lt;&gt;0,(VLOOKUP($B16,сотрудники!$B$4:$E$217,4,0)),0)</f>
        <v>0</v>
      </c>
      <c r="F16" s="72">
        <f t="shared" si="0"/>
        <v>32</v>
      </c>
      <c r="G16" s="73"/>
      <c r="H16" s="73"/>
      <c r="I16" s="73"/>
      <c r="J16" s="73"/>
      <c r="K16" s="73"/>
      <c r="L16" s="73"/>
      <c r="M16" s="73"/>
      <c r="N16" s="72">
        <v>32</v>
      </c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x14ac:dyDescent="0.25">
      <c r="A17" s="71">
        <v>12</v>
      </c>
      <c r="B17" s="78">
        <f>сотрудники!B21</f>
        <v>0</v>
      </c>
      <c r="C17" s="71">
        <f>IF(B17&lt;&gt;0,(VLOOKUP($B17,сотрудники!$B$4:$D$217,2,0)),0)</f>
        <v>0</v>
      </c>
      <c r="D17" s="71">
        <f>IF(C17&lt;&gt;0,(VLOOKUP($B17,сотрудники!$B$4:$D$217,3,0)),0)</f>
        <v>0</v>
      </c>
      <c r="E17" s="71">
        <f>IF(D17&lt;&gt;0,(VLOOKUP($B17,сотрудники!$B$4:$E$217,4,0)),0)</f>
        <v>0</v>
      </c>
      <c r="F17" s="72">
        <f t="shared" ref="F17" si="1">SUM(G17:AZ17)</f>
        <v>104</v>
      </c>
      <c r="G17" s="73"/>
      <c r="H17" s="73"/>
      <c r="I17" s="73"/>
      <c r="J17" s="73"/>
      <c r="K17" s="73"/>
      <c r="L17" s="73"/>
      <c r="M17" s="73"/>
      <c r="N17" s="72">
        <v>104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x14ac:dyDescent="0.25">
      <c r="A18" s="71">
        <v>13</v>
      </c>
      <c r="B18" s="78">
        <f>сотрудники!B24</f>
        <v>0</v>
      </c>
      <c r="C18" s="71">
        <f>IF(B18&lt;&gt;0,(VLOOKUP($B18,сотрудники!$B$4:$D$217,2,0)),0)</f>
        <v>0</v>
      </c>
      <c r="D18" s="71">
        <f>IF(C18&lt;&gt;0,(VLOOKUP($B18,сотрудники!$B$4:$D$217,3,0)),0)</f>
        <v>0</v>
      </c>
      <c r="E18" s="71">
        <f>IF(D18&lt;&gt;0,(VLOOKUP($B18,сотрудники!$B$4:$E$217,4,0)),0)</f>
        <v>0</v>
      </c>
      <c r="F18" s="72">
        <f t="shared" ref="F18:F74" si="2">SUM(G18:AZ18)</f>
        <v>24</v>
      </c>
      <c r="G18" s="73"/>
      <c r="H18" s="73"/>
      <c r="I18" s="73"/>
      <c r="J18" s="73"/>
      <c r="K18" s="73"/>
      <c r="L18" s="73"/>
      <c r="M18" s="73"/>
      <c r="N18" s="72">
        <v>24</v>
      </c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x14ac:dyDescent="0.25">
      <c r="A19" s="71">
        <v>14</v>
      </c>
      <c r="B19" s="78">
        <f>сотрудники!B25</f>
        <v>0</v>
      </c>
      <c r="C19" s="71">
        <f>IF(B19&lt;&gt;0,(VLOOKUP($B19,сотрудники!$B$4:$D$217,2,0)),0)</f>
        <v>0</v>
      </c>
      <c r="D19" s="71">
        <f>IF(C19&lt;&gt;0,(VLOOKUP($B19,сотрудники!$B$4:$D$217,3,0)),0)</f>
        <v>0</v>
      </c>
      <c r="E19" s="71">
        <f>IF(D19&lt;&gt;0,(VLOOKUP($B19,сотрудники!$B$4:$E$217,4,0)),0)</f>
        <v>0</v>
      </c>
      <c r="F19" s="72">
        <f t="shared" si="2"/>
        <v>80</v>
      </c>
      <c r="G19" s="73"/>
      <c r="H19" s="73"/>
      <c r="I19" s="73"/>
      <c r="J19" s="73"/>
      <c r="K19" s="73"/>
      <c r="L19" s="73"/>
      <c r="M19" s="73"/>
      <c r="N19" s="72">
        <v>80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x14ac:dyDescent="0.25">
      <c r="A20" s="71">
        <v>15</v>
      </c>
      <c r="B20" s="78">
        <f>сотрудники!B29</f>
        <v>0</v>
      </c>
      <c r="C20" s="71">
        <f>IF(B20&lt;&gt;0,(VLOOKUP($B20,сотрудники!$B$4:$D$217,2,0)),0)</f>
        <v>0</v>
      </c>
      <c r="D20" s="71">
        <f>IF(C20&lt;&gt;0,(VLOOKUP($B20,сотрудники!$B$4:$D$217,3,0)),0)</f>
        <v>0</v>
      </c>
      <c r="E20" s="71">
        <f>IF(D20&lt;&gt;0,(VLOOKUP($B20,сотрудники!$B$4:$E$217,4,0)),0)</f>
        <v>0</v>
      </c>
      <c r="F20" s="72">
        <f t="shared" si="2"/>
        <v>64</v>
      </c>
      <c r="G20" s="73"/>
      <c r="H20" s="73"/>
      <c r="I20" s="73"/>
      <c r="J20" s="73"/>
      <c r="K20" s="73"/>
      <c r="L20" s="73"/>
      <c r="M20" s="73"/>
      <c r="N20" s="72">
        <v>64</v>
      </c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x14ac:dyDescent="0.25">
      <c r="A21" s="71">
        <v>17</v>
      </c>
      <c r="B21" s="78">
        <f>сотрудники!B32</f>
        <v>0</v>
      </c>
      <c r="C21" s="71">
        <f>IF(B21&lt;&gt;0,(VLOOKUP($B21,сотрудники!$B$4:$D$217,2,0)),0)</f>
        <v>0</v>
      </c>
      <c r="D21" s="71">
        <f>IF(C21&lt;&gt;0,(VLOOKUP($B21,сотрудники!$B$4:$D$217,3,0)),0)</f>
        <v>0</v>
      </c>
      <c r="E21" s="71">
        <f>IF(D21&lt;&gt;0,(VLOOKUP($B21,сотрудники!$B$4:$E$217,4,0)),0)</f>
        <v>0</v>
      </c>
      <c r="F21" s="72">
        <f t="shared" si="2"/>
        <v>80</v>
      </c>
      <c r="G21" s="73"/>
      <c r="H21" s="73"/>
      <c r="I21" s="73"/>
      <c r="J21" s="73"/>
      <c r="K21" s="73"/>
      <c r="L21" s="73"/>
      <c r="M21" s="73"/>
      <c r="N21" s="72">
        <v>80</v>
      </c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x14ac:dyDescent="0.25">
      <c r="A22" s="71">
        <v>18</v>
      </c>
      <c r="B22" s="78">
        <f>сотрудники!B33</f>
        <v>0</v>
      </c>
      <c r="C22" s="71">
        <f>IF(B22&lt;&gt;0,(VLOOKUP($B22,сотрудники!$B$4:$D$217,2,0)),0)</f>
        <v>0</v>
      </c>
      <c r="D22" s="71">
        <f>IF(C22&lt;&gt;0,(VLOOKUP($B22,сотрудники!$B$4:$D$217,3,0)),0)</f>
        <v>0</v>
      </c>
      <c r="E22" s="71">
        <f>IF(D22&lt;&gt;0,(VLOOKUP($B22,сотрудники!$B$4:$E$217,4,0)),0)</f>
        <v>0</v>
      </c>
      <c r="F22" s="72">
        <f t="shared" si="2"/>
        <v>80</v>
      </c>
      <c r="G22" s="73"/>
      <c r="H22" s="73"/>
      <c r="I22" s="73"/>
      <c r="J22" s="73"/>
      <c r="K22" s="73"/>
      <c r="L22" s="73"/>
      <c r="M22" s="73"/>
      <c r="N22" s="72">
        <v>80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</row>
    <row r="23" spans="1:40" x14ac:dyDescent="0.25">
      <c r="A23" s="71">
        <v>19</v>
      </c>
      <c r="B23" s="78">
        <f>сотрудники!B34</f>
        <v>0</v>
      </c>
      <c r="C23" s="71">
        <f>IF(B23&lt;&gt;0,(VLOOKUP($B23,сотрудники!$B$4:$D$217,2,0)),0)</f>
        <v>0</v>
      </c>
      <c r="D23" s="71">
        <f>IF(C23&lt;&gt;0,(VLOOKUP($B23,сотрудники!$B$4:$D$217,3,0)),0)</f>
        <v>0</v>
      </c>
      <c r="E23" s="71">
        <f>IF(D23&lt;&gt;0,(VLOOKUP($B23,сотрудники!$B$4:$E$217,4,0)),0)</f>
        <v>0</v>
      </c>
      <c r="F23" s="72">
        <f t="shared" si="2"/>
        <v>80</v>
      </c>
      <c r="G23" s="73"/>
      <c r="H23" s="73"/>
      <c r="I23" s="73"/>
      <c r="J23" s="73"/>
      <c r="K23" s="73"/>
      <c r="L23" s="73"/>
      <c r="M23" s="73"/>
      <c r="N23" s="72">
        <v>80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x14ac:dyDescent="0.25">
      <c r="A24" s="71">
        <v>30</v>
      </c>
      <c r="B24" s="78">
        <f>сотрудники!B35</f>
        <v>0</v>
      </c>
      <c r="C24" s="71">
        <f>IF(B24&lt;&gt;0,(VLOOKUP($B24,сотрудники!$B$4:$D$217,2,0)),0)</f>
        <v>0</v>
      </c>
      <c r="D24" s="71">
        <f>IF(C24&lt;&gt;0,(VLOOKUP($B24,сотрудники!$B$4:$D$217,3,0)),0)</f>
        <v>0</v>
      </c>
      <c r="E24" s="71">
        <f>IF(D24&lt;&gt;0,(VLOOKUP($B24,сотрудники!$B$4:$E$217,4,0)),0)</f>
        <v>0</v>
      </c>
      <c r="F24" s="72">
        <f t="shared" si="2"/>
        <v>24</v>
      </c>
      <c r="G24" s="73"/>
      <c r="H24" s="73"/>
      <c r="I24" s="73"/>
      <c r="J24" s="73"/>
      <c r="K24" s="73"/>
      <c r="L24" s="73"/>
      <c r="M24" s="73"/>
      <c r="N24" s="72">
        <v>24</v>
      </c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x14ac:dyDescent="0.25">
      <c r="A25" s="71">
        <v>31</v>
      </c>
      <c r="B25" s="78">
        <f>сотрудники!B36</f>
        <v>0</v>
      </c>
      <c r="C25" s="71">
        <f>IF(B25&lt;&gt;0,(VLOOKUP($B25,сотрудники!$B$4:$D$217,2,0)),0)</f>
        <v>0</v>
      </c>
      <c r="D25" s="71">
        <f>IF(C25&lt;&gt;0,(VLOOKUP($B25,сотрудники!$B$4:$D$217,3,0)),0)</f>
        <v>0</v>
      </c>
      <c r="E25" s="71">
        <f>IF(D25&lt;&gt;0,(VLOOKUP($B25,сотрудники!$B$4:$E$217,4,0)),0)</f>
        <v>0</v>
      </c>
      <c r="F25" s="72">
        <f t="shared" si="2"/>
        <v>24</v>
      </c>
      <c r="G25" s="73"/>
      <c r="H25" s="73"/>
      <c r="I25" s="73"/>
      <c r="J25" s="73"/>
      <c r="K25" s="73"/>
      <c r="L25" s="73"/>
      <c r="M25" s="73"/>
      <c r="N25" s="72">
        <v>24</v>
      </c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x14ac:dyDescent="0.25">
      <c r="A26" s="71">
        <v>32</v>
      </c>
      <c r="B26" s="78">
        <f>сотрудники!B37</f>
        <v>0</v>
      </c>
      <c r="C26" s="71">
        <f>IF(B26&lt;&gt;0,(VLOOKUP($B26,сотрудники!$B$4:$D$217,2,0)),0)</f>
        <v>0</v>
      </c>
      <c r="D26" s="71">
        <f>IF(C26&lt;&gt;0,(VLOOKUP($B26,сотрудники!$B$4:$D$217,3,0)),0)</f>
        <v>0</v>
      </c>
      <c r="E26" s="71">
        <f>IF(D26&lt;&gt;0,(VLOOKUP($B26,сотрудники!$B$4:$E$217,4,0)),0)</f>
        <v>0</v>
      </c>
      <c r="F26" s="72">
        <f t="shared" si="2"/>
        <v>24</v>
      </c>
      <c r="G26" s="73"/>
      <c r="H26" s="73"/>
      <c r="I26" s="73"/>
      <c r="J26" s="73"/>
      <c r="K26" s="73"/>
      <c r="L26" s="73"/>
      <c r="M26" s="73"/>
      <c r="N26" s="72">
        <v>24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</row>
    <row r="27" spans="1:40" x14ac:dyDescent="0.25">
      <c r="A27" s="71">
        <v>33</v>
      </c>
      <c r="B27" s="78">
        <f>сотрудники!B38</f>
        <v>0</v>
      </c>
      <c r="C27" s="71">
        <f>IF(B27&lt;&gt;0,(VLOOKUP($B27,сотрудники!$B$4:$D$217,2,0)),0)</f>
        <v>0</v>
      </c>
      <c r="D27" s="71">
        <f>IF(C27&lt;&gt;0,(VLOOKUP($B27,сотрудники!$B$4:$D$217,3,0)),0)</f>
        <v>0</v>
      </c>
      <c r="E27" s="71">
        <f>IF(D27&lt;&gt;0,(VLOOKUP($B27,сотрудники!$B$4:$E$217,4,0)),0)</f>
        <v>0</v>
      </c>
      <c r="F27" s="72">
        <f t="shared" si="2"/>
        <v>24</v>
      </c>
      <c r="G27" s="73"/>
      <c r="H27" s="73"/>
      <c r="I27" s="73"/>
      <c r="J27" s="73"/>
      <c r="K27" s="73"/>
      <c r="L27" s="73"/>
      <c r="M27" s="73"/>
      <c r="N27" s="72">
        <v>24</v>
      </c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x14ac:dyDescent="0.25">
      <c r="A28" s="71">
        <v>34</v>
      </c>
      <c r="B28" s="78">
        <f>сотрудники!B39</f>
        <v>0</v>
      </c>
      <c r="C28" s="71">
        <f>IF(B28&lt;&gt;0,(VLOOKUP($B28,сотрудники!$B$4:$D$217,2,0)),0)</f>
        <v>0</v>
      </c>
      <c r="D28" s="71">
        <f>IF(C28&lt;&gt;0,(VLOOKUP($B28,сотрудники!$B$4:$D$217,3,0)),0)</f>
        <v>0</v>
      </c>
      <c r="E28" s="71">
        <f>IF(D28&lt;&gt;0,(VLOOKUP($B28,сотрудники!$B$4:$E$217,4,0)),0)</f>
        <v>0</v>
      </c>
      <c r="F28" s="72">
        <f t="shared" si="2"/>
        <v>64</v>
      </c>
      <c r="G28" s="73"/>
      <c r="H28" s="73"/>
      <c r="I28" s="73"/>
      <c r="J28" s="73"/>
      <c r="K28" s="73"/>
      <c r="L28" s="73"/>
      <c r="M28" s="73"/>
      <c r="N28" s="72">
        <v>64</v>
      </c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x14ac:dyDescent="0.25">
      <c r="A29" s="71">
        <v>35</v>
      </c>
      <c r="B29" s="78">
        <f>сотрудники!B40</f>
        <v>0</v>
      </c>
      <c r="C29" s="71">
        <f>IF(B29&lt;&gt;0,(VLOOKUP($B29,сотрудники!$B$4:$D$217,2,0)),0)</f>
        <v>0</v>
      </c>
      <c r="D29" s="71">
        <f>IF(C29&lt;&gt;0,(VLOOKUP($B29,сотрудники!$B$4:$D$217,3,0)),0)</f>
        <v>0</v>
      </c>
      <c r="E29" s="71">
        <f>IF(D29&lt;&gt;0,(VLOOKUP($B29,сотрудники!$B$4:$E$217,4,0)),0)</f>
        <v>0</v>
      </c>
      <c r="F29" s="72">
        <f t="shared" si="2"/>
        <v>104</v>
      </c>
      <c r="G29" s="73"/>
      <c r="H29" s="73"/>
      <c r="I29" s="73"/>
      <c r="J29" s="73"/>
      <c r="K29" s="73"/>
      <c r="L29" s="73"/>
      <c r="M29" s="73"/>
      <c r="N29" s="72">
        <v>104</v>
      </c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x14ac:dyDescent="0.25">
      <c r="A30" s="71">
        <v>36</v>
      </c>
      <c r="B30" s="78">
        <f>сотрудники!B114</f>
        <v>0</v>
      </c>
      <c r="C30" s="71">
        <f>IF(B30&lt;&gt;0,(VLOOKUP($B30,сотрудники!$B$4:$D$217,2,0)),0)</f>
        <v>0</v>
      </c>
      <c r="D30" s="71">
        <f>IF(C30&lt;&gt;0,(VLOOKUP($B30,сотрудники!$B$4:$D$217,3,0)),0)</f>
        <v>0</v>
      </c>
      <c r="E30" s="71">
        <f>IF(D30&lt;&gt;0,(VLOOKUP($B30,сотрудники!$B$4:$E$217,4,0)),0)</f>
        <v>0</v>
      </c>
      <c r="F30" s="72">
        <f t="shared" si="2"/>
        <v>0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x14ac:dyDescent="0.25">
      <c r="A31" s="71">
        <v>37</v>
      </c>
      <c r="B31" s="78">
        <f>сотрудники!B115</f>
        <v>0</v>
      </c>
      <c r="C31" s="71">
        <f>IF(B31&lt;&gt;0,(VLOOKUP($B31,сотрудники!$B$4:$D$217,2,0)),0)</f>
        <v>0</v>
      </c>
      <c r="D31" s="71">
        <f>IF(C31&lt;&gt;0,(VLOOKUP($B31,сотрудники!$B$4:$D$217,3,0)),0)</f>
        <v>0</v>
      </c>
      <c r="E31" s="71">
        <f>IF(D31&lt;&gt;0,(VLOOKUP($B31,сотрудники!$B$4:$E$217,4,0)),0)</f>
        <v>0</v>
      </c>
      <c r="F31" s="72">
        <f t="shared" si="2"/>
        <v>0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x14ac:dyDescent="0.25">
      <c r="A32" s="71">
        <v>38</v>
      </c>
      <c r="B32" s="78">
        <f>сотрудники!B116</f>
        <v>0</v>
      </c>
      <c r="C32" s="71">
        <f>IF(B32&lt;&gt;0,(VLOOKUP($B32,сотрудники!$B$4:$D$217,2,0)),0)</f>
        <v>0</v>
      </c>
      <c r="D32" s="71">
        <f>IF(C32&lt;&gt;0,(VLOOKUP($B32,сотрудники!$B$4:$D$217,3,0)),0)</f>
        <v>0</v>
      </c>
      <c r="E32" s="71">
        <f>IF(D32&lt;&gt;0,(VLOOKUP($B32,сотрудники!$B$4:$E$217,4,0)),0)</f>
        <v>0</v>
      </c>
      <c r="F32" s="72">
        <f t="shared" si="2"/>
        <v>0</v>
      </c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39</v>
      </c>
      <c r="B33" s="78">
        <f>сотрудники!B117</f>
        <v>0</v>
      </c>
      <c r="C33" s="71">
        <f>IF(B33&lt;&gt;0,(VLOOKUP($B33,сотрудники!$B$4:$D$217,2,0)),0)</f>
        <v>0</v>
      </c>
      <c r="D33" s="71">
        <f>IF(C33&lt;&gt;0,(VLOOKUP($B33,сотрудники!$B$4:$D$217,3,0)),0)</f>
        <v>0</v>
      </c>
      <c r="E33" s="71">
        <f>IF(D33&lt;&gt;0,(VLOOKUP($B33,сотрудники!$B$4:$E$217,4,0)),0)</f>
        <v>0</v>
      </c>
      <c r="F33" s="72">
        <f t="shared" si="2"/>
        <v>0</v>
      </c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spans="1:40" x14ac:dyDescent="0.25">
      <c r="A34" s="71">
        <v>40</v>
      </c>
      <c r="B34" s="78">
        <f>сотрудники!B118</f>
        <v>0</v>
      </c>
      <c r="C34" s="71">
        <f>IF(B34&lt;&gt;0,(VLOOKUP($B34,сотрудники!$B$4:$D$217,2,0)),0)</f>
        <v>0</v>
      </c>
      <c r="D34" s="71">
        <f>IF(C34&lt;&gt;0,(VLOOKUP($B34,сотрудники!$B$4:$D$217,3,0)),0)</f>
        <v>0</v>
      </c>
      <c r="E34" s="71">
        <f>IF(D34&lt;&gt;0,(VLOOKUP($B34,сотрудники!$B$4:$E$217,4,0)),0)</f>
        <v>0</v>
      </c>
      <c r="F34" s="72">
        <f t="shared" si="2"/>
        <v>0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  <row r="35" spans="1:40" x14ac:dyDescent="0.25">
      <c r="A35" s="71">
        <v>602</v>
      </c>
      <c r="B35" s="78">
        <f>сотрудники!B119</f>
        <v>0</v>
      </c>
      <c r="C35" s="71">
        <f>IF(B35&lt;&gt;0,(VLOOKUP($B35,сотрудники!$B$4:$D$217,2,0)),0)</f>
        <v>0</v>
      </c>
      <c r="D35" s="71">
        <f>IF(C35&lt;&gt;0,(VLOOKUP($B35,сотрудники!$B$4:$D$217,3,0)),0)</f>
        <v>0</v>
      </c>
      <c r="E35" s="71">
        <f>IF(D35&lt;&gt;0,(VLOOKUP($B35,сотрудники!$B$4:$E$217,4,0)),0)</f>
        <v>0</v>
      </c>
      <c r="F35" s="72">
        <f t="shared" si="2"/>
        <v>0</v>
      </c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 spans="1:40" x14ac:dyDescent="0.25">
      <c r="A36" s="71">
        <v>603</v>
      </c>
      <c r="B36" s="78">
        <f>сотрудники!B120</f>
        <v>0</v>
      </c>
      <c r="C36" s="71">
        <f>IF(B36&lt;&gt;0,(VLOOKUP($B36,сотрудники!$B$4:$D$217,2,0)),0)</f>
        <v>0</v>
      </c>
      <c r="D36" s="71">
        <f>IF(C36&lt;&gt;0,(VLOOKUP($B36,сотрудники!$B$4:$D$217,3,0)),0)</f>
        <v>0</v>
      </c>
      <c r="E36" s="71">
        <f>IF(D36&lt;&gt;0,(VLOOKUP($B36,сотрудники!$B$4:$E$217,4,0)),0)</f>
        <v>0</v>
      </c>
      <c r="F36" s="72">
        <f t="shared" si="2"/>
        <v>0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</row>
    <row r="37" spans="1:40" x14ac:dyDescent="0.25">
      <c r="A37" s="71">
        <v>604</v>
      </c>
      <c r="B37" s="78">
        <f>сотрудники!B121</f>
        <v>0</v>
      </c>
      <c r="C37" s="71">
        <f>IF(B37&lt;&gt;0,(VLOOKUP($B37,сотрудники!$B$4:$D$217,2,0)),0)</f>
        <v>0</v>
      </c>
      <c r="D37" s="71">
        <f>IF(C37&lt;&gt;0,(VLOOKUP($B37,сотрудники!$B$4:$D$217,3,0)),0)</f>
        <v>0</v>
      </c>
      <c r="E37" s="71">
        <f>IF(D37&lt;&gt;0,(VLOOKUP($B37,сотрудники!$B$4:$E$217,4,0)),0)</f>
        <v>0</v>
      </c>
      <c r="F37" s="72">
        <f t="shared" si="2"/>
        <v>0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 spans="1:40" x14ac:dyDescent="0.25">
      <c r="A38" s="71">
        <v>605</v>
      </c>
      <c r="B38" s="78">
        <f>сотрудники!B122</f>
        <v>0</v>
      </c>
      <c r="C38" s="71">
        <f>IF(B38&lt;&gt;0,(VLOOKUP($B38,сотрудники!$B$4:$D$217,2,0)),0)</f>
        <v>0</v>
      </c>
      <c r="D38" s="71">
        <f>IF(C38&lt;&gt;0,(VLOOKUP($B38,сотрудники!$B$4:$D$217,3,0)),0)</f>
        <v>0</v>
      </c>
      <c r="E38" s="71">
        <f>IF(D38&lt;&gt;0,(VLOOKUP($B38,сотрудники!$B$4:$E$217,4,0)),0)</f>
        <v>0</v>
      </c>
      <c r="F38" s="72">
        <f t="shared" si="2"/>
        <v>0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</row>
    <row r="39" spans="1:40" x14ac:dyDescent="0.25">
      <c r="A39" s="71">
        <v>606</v>
      </c>
      <c r="B39" s="78">
        <f>сотрудники!B123</f>
        <v>0</v>
      </c>
      <c r="C39" s="71">
        <f>IF(B39&lt;&gt;0,(VLOOKUP($B39,сотрудники!$B$4:$D$217,2,0)),0)</f>
        <v>0</v>
      </c>
      <c r="D39" s="71">
        <f>IF(C39&lt;&gt;0,(VLOOKUP($B39,сотрудники!$B$4:$D$217,3,0)),0)</f>
        <v>0</v>
      </c>
      <c r="E39" s="71">
        <f>IF(D39&lt;&gt;0,(VLOOKUP($B39,сотрудники!$B$4:$E$217,4,0)),0)</f>
        <v>0</v>
      </c>
      <c r="F39" s="72">
        <f t="shared" si="2"/>
        <v>0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</row>
    <row r="40" spans="1:40" x14ac:dyDescent="0.25">
      <c r="A40" s="71">
        <v>607</v>
      </c>
      <c r="B40" s="78">
        <f>сотрудники!B124</f>
        <v>0</v>
      </c>
      <c r="C40" s="71">
        <f>IF(B40&lt;&gt;0,(VLOOKUP($B40,сотрудники!$B$4:$D$217,2,0)),0)</f>
        <v>0</v>
      </c>
      <c r="D40" s="71">
        <f>IF(C40&lt;&gt;0,(VLOOKUP($B40,сотрудники!$B$4:$D$217,3,0)),0)</f>
        <v>0</v>
      </c>
      <c r="E40" s="71">
        <f>IF(D40&lt;&gt;0,(VLOOKUP($B40,сотрудники!$B$4:$E$217,4,0)),0)</f>
        <v>0</v>
      </c>
      <c r="F40" s="72">
        <f t="shared" si="2"/>
        <v>0</v>
      </c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</row>
    <row r="41" spans="1:40" x14ac:dyDescent="0.25">
      <c r="A41" s="71">
        <v>608</v>
      </c>
      <c r="B41" s="78">
        <f>сотрудники!B125</f>
        <v>0</v>
      </c>
      <c r="C41" s="71">
        <f>IF(B41&lt;&gt;0,(VLOOKUP($B41,сотрудники!$B$4:$D$217,2,0)),0)</f>
        <v>0</v>
      </c>
      <c r="D41" s="71">
        <f>IF(C41&lt;&gt;0,(VLOOKUP($B41,сотрудники!$B$4:$D$217,3,0)),0)</f>
        <v>0</v>
      </c>
      <c r="E41" s="71">
        <f>IF(D41&lt;&gt;0,(VLOOKUP($B41,сотрудники!$B$4:$E$217,4,0)),0)</f>
        <v>0</v>
      </c>
      <c r="F41" s="72">
        <f t="shared" si="2"/>
        <v>0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 spans="1:40" x14ac:dyDescent="0.25">
      <c r="A42" s="71">
        <v>609</v>
      </c>
      <c r="B42" s="78">
        <f>сотрудники!B126</f>
        <v>0</v>
      </c>
      <c r="C42" s="71">
        <f>IF(B42&lt;&gt;0,(VLOOKUP($B42,сотрудники!$B$4:$D$217,2,0)),0)</f>
        <v>0</v>
      </c>
      <c r="D42" s="71">
        <f>IF(C42&lt;&gt;0,(VLOOKUP($B42,сотрудники!$B$4:$D$217,3,0)),0)</f>
        <v>0</v>
      </c>
      <c r="E42" s="71">
        <f>IF(D42&lt;&gt;0,(VLOOKUP($B42,сотрудники!$B$4:$E$217,4,0)),0)</f>
        <v>0</v>
      </c>
      <c r="F42" s="72">
        <f t="shared" si="2"/>
        <v>0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 spans="1:40" x14ac:dyDescent="0.25">
      <c r="A43" s="71">
        <v>610</v>
      </c>
      <c r="B43" s="78">
        <f>сотрудники!B127</f>
        <v>0</v>
      </c>
      <c r="C43" s="71">
        <f>IF(B43&lt;&gt;0,(VLOOKUP($B43,сотрудники!$B$4:$D$217,2,0)),0)</f>
        <v>0</v>
      </c>
      <c r="D43" s="71">
        <f>IF(C43&lt;&gt;0,(VLOOKUP($B43,сотрудники!$B$4:$D$217,3,0)),0)</f>
        <v>0</v>
      </c>
      <c r="E43" s="71">
        <f>IF(D43&lt;&gt;0,(VLOOKUP($B43,сотрудники!$B$4:$E$217,4,0)),0)</f>
        <v>0</v>
      </c>
      <c r="F43" s="72">
        <f t="shared" si="2"/>
        <v>0</v>
      </c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</row>
    <row r="44" spans="1:40" x14ac:dyDescent="0.25">
      <c r="A44" s="71">
        <v>611</v>
      </c>
      <c r="B44" s="78">
        <f>сотрудники!B128</f>
        <v>0</v>
      </c>
      <c r="C44" s="71">
        <f>IF(B44&lt;&gt;0,(VLOOKUP($B44,сотрудники!$B$4:$D$217,2,0)),0)</f>
        <v>0</v>
      </c>
      <c r="D44" s="71">
        <f>IF(C44&lt;&gt;0,(VLOOKUP($B44,сотрудники!$B$4:$D$217,3,0)),0)</f>
        <v>0</v>
      </c>
      <c r="E44" s="71">
        <f>IF(D44&lt;&gt;0,(VLOOKUP($B44,сотрудники!$B$4:$E$217,4,0)),0)</f>
        <v>0</v>
      </c>
      <c r="F44" s="72">
        <f t="shared" si="2"/>
        <v>0</v>
      </c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 spans="1:40" x14ac:dyDescent="0.25">
      <c r="A45" s="71">
        <v>612</v>
      </c>
      <c r="B45" s="78">
        <f>сотрудники!B129</f>
        <v>0</v>
      </c>
      <c r="C45" s="71">
        <f>IF(B45&lt;&gt;0,(VLOOKUP($B45,сотрудники!$B$4:$D$217,2,0)),0)</f>
        <v>0</v>
      </c>
      <c r="D45" s="71">
        <f>IF(C45&lt;&gt;0,(VLOOKUP($B45,сотрудники!$B$4:$D$217,3,0)),0)</f>
        <v>0</v>
      </c>
      <c r="E45" s="71">
        <f>IF(D45&lt;&gt;0,(VLOOKUP($B45,сотрудники!$B$4:$E$217,4,0)),0)</f>
        <v>0</v>
      </c>
      <c r="F45" s="72">
        <f t="shared" si="2"/>
        <v>0</v>
      </c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 spans="1:40" x14ac:dyDescent="0.25">
      <c r="A46" s="71">
        <v>613</v>
      </c>
      <c r="B46" s="78">
        <f>сотрудники!B130</f>
        <v>0</v>
      </c>
      <c r="C46" s="71">
        <f>IF(B46&lt;&gt;0,(VLOOKUP($B46,сотрудники!$B$4:$D$217,2,0)),0)</f>
        <v>0</v>
      </c>
      <c r="D46" s="71">
        <f>IF(C46&lt;&gt;0,(VLOOKUP($B46,сотрудники!$B$4:$D$217,3,0)),0)</f>
        <v>0</v>
      </c>
      <c r="E46" s="71">
        <f>IF(D46&lt;&gt;0,(VLOOKUP($B46,сотрудники!$B$4:$E$217,4,0)),0)</f>
        <v>0</v>
      </c>
      <c r="F46" s="72">
        <f t="shared" si="2"/>
        <v>0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 spans="1:40" x14ac:dyDescent="0.25">
      <c r="A47" s="71">
        <v>614</v>
      </c>
      <c r="B47" s="78">
        <f>сотрудники!B131</f>
        <v>0</v>
      </c>
      <c r="C47" s="71">
        <f>IF(B47&lt;&gt;0,(VLOOKUP($B47,сотрудники!$B$4:$D$217,2,0)),0)</f>
        <v>0</v>
      </c>
      <c r="D47" s="71">
        <f>IF(C47&lt;&gt;0,(VLOOKUP($B47,сотрудники!$B$4:$D$217,3,0)),0)</f>
        <v>0</v>
      </c>
      <c r="E47" s="71">
        <f>IF(D47&lt;&gt;0,(VLOOKUP($B47,сотрудники!$B$4:$E$217,4,0)),0)</f>
        <v>0</v>
      </c>
      <c r="F47" s="72">
        <f t="shared" si="2"/>
        <v>0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</row>
    <row r="48" spans="1:40" x14ac:dyDescent="0.25">
      <c r="A48" s="71">
        <v>615</v>
      </c>
      <c r="B48" s="78">
        <f>сотрудники!B132</f>
        <v>0</v>
      </c>
      <c r="C48" s="71">
        <f>IF(B48&lt;&gt;0,(VLOOKUP($B48,сотрудники!$B$4:$D$217,2,0)),0)</f>
        <v>0</v>
      </c>
      <c r="D48" s="71">
        <f>IF(C48&lt;&gt;0,(VLOOKUP($B48,сотрудники!$B$4:$D$217,3,0)),0)</f>
        <v>0</v>
      </c>
      <c r="E48" s="71">
        <f>IF(D48&lt;&gt;0,(VLOOKUP($B48,сотрудники!$B$4:$E$217,4,0)),0)</f>
        <v>0</v>
      </c>
      <c r="F48" s="72">
        <f t="shared" si="2"/>
        <v>0</v>
      </c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</row>
    <row r="49" spans="1:40" x14ac:dyDescent="0.25">
      <c r="A49" s="71">
        <v>616</v>
      </c>
      <c r="B49" s="78">
        <f>сотрудники!B133</f>
        <v>0</v>
      </c>
      <c r="C49" s="71">
        <f>IF(B49&lt;&gt;0,(VLOOKUP($B49,сотрудники!$B$4:$D$217,2,0)),0)</f>
        <v>0</v>
      </c>
      <c r="D49" s="71">
        <f>IF(C49&lt;&gt;0,(VLOOKUP($B49,сотрудники!$B$4:$D$217,3,0)),0)</f>
        <v>0</v>
      </c>
      <c r="E49" s="71">
        <f>IF(D49&lt;&gt;0,(VLOOKUP($B49,сотрудники!$B$4:$E$217,4,0)),0)</f>
        <v>0</v>
      </c>
      <c r="F49" s="72">
        <f t="shared" si="2"/>
        <v>0</v>
      </c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</row>
    <row r="50" spans="1:40" x14ac:dyDescent="0.25">
      <c r="A50" s="71">
        <v>617</v>
      </c>
      <c r="B50" s="78">
        <f>сотрудники!B134</f>
        <v>0</v>
      </c>
      <c r="C50" s="71">
        <f>IF(B50&lt;&gt;0,(VLOOKUP($B50,сотрудники!$B$4:$D$217,2,0)),0)</f>
        <v>0</v>
      </c>
      <c r="D50" s="71">
        <f>IF(C50&lt;&gt;0,(VLOOKUP($B50,сотрудники!$B$4:$D$217,3,0)),0)</f>
        <v>0</v>
      </c>
      <c r="E50" s="71">
        <f>IF(D50&lt;&gt;0,(VLOOKUP($B50,сотрудники!$B$4:$E$217,4,0)),0)</f>
        <v>0</v>
      </c>
      <c r="F50" s="72">
        <f t="shared" si="2"/>
        <v>0</v>
      </c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</row>
    <row r="51" spans="1:40" x14ac:dyDescent="0.25">
      <c r="A51" s="71">
        <v>618</v>
      </c>
      <c r="B51" s="78">
        <f>сотрудники!B135</f>
        <v>0</v>
      </c>
      <c r="C51" s="71">
        <f>IF(B51&lt;&gt;0,(VLOOKUP($B51,сотрудники!$B$4:$D$217,2,0)),0)</f>
        <v>0</v>
      </c>
      <c r="D51" s="71">
        <f>IF(C51&lt;&gt;0,(VLOOKUP($B51,сотрудники!$B$4:$D$217,3,0)),0)</f>
        <v>0</v>
      </c>
      <c r="E51" s="71">
        <f>IF(D51&lt;&gt;0,(VLOOKUP($B51,сотрудники!$B$4:$E$217,4,0)),0)</f>
        <v>0</v>
      </c>
      <c r="F51" s="72">
        <f t="shared" si="2"/>
        <v>0</v>
      </c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</row>
    <row r="52" spans="1:40" x14ac:dyDescent="0.25">
      <c r="A52" s="71">
        <v>619</v>
      </c>
      <c r="B52" s="78">
        <f>сотрудники!B136</f>
        <v>0</v>
      </c>
      <c r="C52" s="71">
        <f>IF(B52&lt;&gt;0,(VLOOKUP($B52,сотрудники!$B$4:$D$217,2,0)),0)</f>
        <v>0</v>
      </c>
      <c r="D52" s="71">
        <f>IF(C52&lt;&gt;0,(VLOOKUP($B52,сотрудники!$B$4:$D$217,3,0)),0)</f>
        <v>0</v>
      </c>
      <c r="E52" s="71">
        <f>IF(D52&lt;&gt;0,(VLOOKUP($B52,сотрудники!$B$4:$E$217,4,0)),0)</f>
        <v>0</v>
      </c>
      <c r="F52" s="72">
        <f t="shared" si="2"/>
        <v>0</v>
      </c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</row>
    <row r="53" spans="1:40" x14ac:dyDescent="0.25">
      <c r="A53" s="71">
        <v>620</v>
      </c>
      <c r="B53" s="78">
        <f>сотрудники!B137</f>
        <v>0</v>
      </c>
      <c r="C53" s="71">
        <f>IF(B53&lt;&gt;0,(VLOOKUP($B53,сотрудники!$B$4:$D$217,2,0)),0)</f>
        <v>0</v>
      </c>
      <c r="D53" s="71">
        <f>IF(C53&lt;&gt;0,(VLOOKUP($B53,сотрудники!$B$4:$D$217,3,0)),0)</f>
        <v>0</v>
      </c>
      <c r="E53" s="71">
        <f>IF(D53&lt;&gt;0,(VLOOKUP($B53,сотрудники!$B$4:$E$217,4,0)),0)</f>
        <v>0</v>
      </c>
      <c r="F53" s="72">
        <f t="shared" si="2"/>
        <v>0</v>
      </c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</row>
    <row r="54" spans="1:40" x14ac:dyDescent="0.25">
      <c r="A54" s="71">
        <v>621</v>
      </c>
      <c r="B54" s="78">
        <f>сотрудники!B138</f>
        <v>0</v>
      </c>
      <c r="C54" s="71">
        <f>IF(B54&lt;&gt;0,(VLOOKUP($B54,сотрудники!$B$4:$D$217,2,0)),0)</f>
        <v>0</v>
      </c>
      <c r="D54" s="71">
        <f>IF(C54&lt;&gt;0,(VLOOKUP($B54,сотрудники!$B$4:$D$217,3,0)),0)</f>
        <v>0</v>
      </c>
      <c r="E54" s="71">
        <f>IF(D54&lt;&gt;0,(VLOOKUP($B54,сотрудники!$B$4:$E$217,4,0)),0)</f>
        <v>0</v>
      </c>
      <c r="F54" s="72">
        <f t="shared" si="2"/>
        <v>0</v>
      </c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</row>
    <row r="55" spans="1:40" x14ac:dyDescent="0.25">
      <c r="A55" s="71">
        <v>622</v>
      </c>
      <c r="B55" s="78">
        <f>сотрудники!B139</f>
        <v>0</v>
      </c>
      <c r="C55" s="71">
        <f>IF(B55&lt;&gt;0,(VLOOKUP($B55,сотрудники!$B$4:$D$217,2,0)),0)</f>
        <v>0</v>
      </c>
      <c r="D55" s="71">
        <f>IF(C55&lt;&gt;0,(VLOOKUP($B55,сотрудники!$B$4:$D$217,3,0)),0)</f>
        <v>0</v>
      </c>
      <c r="E55" s="71">
        <f>IF(D55&lt;&gt;0,(VLOOKUP($B55,сотрудники!$B$4:$E$217,4,0)),0)</f>
        <v>0</v>
      </c>
      <c r="F55" s="72">
        <f t="shared" si="2"/>
        <v>0</v>
      </c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</row>
    <row r="56" spans="1:40" x14ac:dyDescent="0.25">
      <c r="A56" s="71">
        <v>623</v>
      </c>
      <c r="B56" s="78">
        <f>сотрудники!B140</f>
        <v>0</v>
      </c>
      <c r="C56" s="71">
        <f>IF(B56&lt;&gt;0,(VLOOKUP($B56,сотрудники!$B$4:$D$217,2,0)),0)</f>
        <v>0</v>
      </c>
      <c r="D56" s="71">
        <f>IF(C56&lt;&gt;0,(VLOOKUP($B56,сотрудники!$B$4:$D$217,3,0)),0)</f>
        <v>0</v>
      </c>
      <c r="E56" s="71">
        <f>IF(D56&lt;&gt;0,(VLOOKUP($B56,сотрудники!$B$4:$E$217,4,0)),0)</f>
        <v>0</v>
      </c>
      <c r="F56" s="72">
        <f t="shared" si="2"/>
        <v>0</v>
      </c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</row>
    <row r="57" spans="1:40" x14ac:dyDescent="0.25">
      <c r="A57" s="71">
        <v>624</v>
      </c>
      <c r="B57" s="78">
        <f>сотрудники!B141</f>
        <v>0</v>
      </c>
      <c r="C57" s="71">
        <f>IF(B57&lt;&gt;0,(VLOOKUP($B57,сотрудники!$B$4:$D$217,2,0)),0)</f>
        <v>0</v>
      </c>
      <c r="D57" s="71">
        <f>IF(C57&lt;&gt;0,(VLOOKUP($B57,сотрудники!$B$4:$D$217,3,0)),0)</f>
        <v>0</v>
      </c>
      <c r="E57" s="71">
        <f>IF(D57&lt;&gt;0,(VLOOKUP($B57,сотрудники!$B$4:$E$217,4,0)),0)</f>
        <v>0</v>
      </c>
      <c r="F57" s="72">
        <f t="shared" si="2"/>
        <v>0</v>
      </c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</row>
    <row r="58" spans="1:40" x14ac:dyDescent="0.25">
      <c r="A58" s="71">
        <v>625</v>
      </c>
      <c r="B58" s="78">
        <f>сотрудники!B142</f>
        <v>0</v>
      </c>
      <c r="C58" s="71">
        <f>IF(B58&lt;&gt;0,(VLOOKUP($B58,сотрудники!$B$4:$D$217,2,0)),0)</f>
        <v>0</v>
      </c>
      <c r="D58" s="71">
        <f>IF(C58&lt;&gt;0,(VLOOKUP($B58,сотрудники!$B$4:$D$217,3,0)),0)</f>
        <v>0</v>
      </c>
      <c r="E58" s="71">
        <f>IF(D58&lt;&gt;0,(VLOOKUP($B58,сотрудники!$B$4:$E$217,4,0)),0)</f>
        <v>0</v>
      </c>
      <c r="F58" s="72">
        <f t="shared" si="2"/>
        <v>0</v>
      </c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</row>
    <row r="59" spans="1:40" x14ac:dyDescent="0.25">
      <c r="A59" s="71">
        <v>626</v>
      </c>
      <c r="B59" s="78">
        <f>сотрудники!B143</f>
        <v>0</v>
      </c>
      <c r="C59" s="71">
        <f>IF(B59&lt;&gt;0,(VLOOKUP($B59,сотрудники!$B$4:$D$217,2,0)),0)</f>
        <v>0</v>
      </c>
      <c r="D59" s="71">
        <f>IF(C59&lt;&gt;0,(VLOOKUP($B59,сотрудники!$B$4:$D$217,3,0)),0)</f>
        <v>0</v>
      </c>
      <c r="E59" s="71">
        <f>IF(D59&lt;&gt;0,(VLOOKUP($B59,сотрудники!$B$4:$E$217,4,0)),0)</f>
        <v>0</v>
      </c>
      <c r="F59" s="72">
        <f t="shared" si="2"/>
        <v>0</v>
      </c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</row>
    <row r="60" spans="1:40" x14ac:dyDescent="0.25">
      <c r="A60" s="71">
        <v>627</v>
      </c>
      <c r="B60" s="78">
        <f>сотрудники!B144</f>
        <v>0</v>
      </c>
      <c r="C60" s="71">
        <f>IF(B60&lt;&gt;0,(VLOOKUP($B60,сотрудники!$B$4:$D$217,2,0)),0)</f>
        <v>0</v>
      </c>
      <c r="D60" s="71">
        <f>IF(C60&lt;&gt;0,(VLOOKUP($B60,сотрудники!$B$4:$D$217,3,0)),0)</f>
        <v>0</v>
      </c>
      <c r="E60" s="71">
        <f>IF(D60&lt;&gt;0,(VLOOKUP($B60,сотрудники!$B$4:$E$217,4,0)),0)</f>
        <v>0</v>
      </c>
      <c r="F60" s="72">
        <f t="shared" si="2"/>
        <v>0</v>
      </c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</row>
    <row r="61" spans="1:40" x14ac:dyDescent="0.25">
      <c r="A61" s="71">
        <v>628</v>
      </c>
      <c r="B61" s="78">
        <f>сотрудники!B145</f>
        <v>0</v>
      </c>
      <c r="C61" s="71">
        <f>IF(B61&lt;&gt;0,(VLOOKUP($B61,сотрудники!$B$4:$D$217,2,0)),0)</f>
        <v>0</v>
      </c>
      <c r="D61" s="71">
        <f>IF(C61&lt;&gt;0,(VLOOKUP($B61,сотрудники!$B$4:$D$217,3,0)),0)</f>
        <v>0</v>
      </c>
      <c r="E61" s="71">
        <f>IF(D61&lt;&gt;0,(VLOOKUP($B61,сотрудники!$B$4:$E$217,4,0)),0)</f>
        <v>0</v>
      </c>
      <c r="F61" s="72">
        <f t="shared" si="2"/>
        <v>0</v>
      </c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 spans="1:40" x14ac:dyDescent="0.25">
      <c r="A62" s="71">
        <v>629</v>
      </c>
      <c r="B62" s="78">
        <f>сотрудники!B146</f>
        <v>0</v>
      </c>
      <c r="C62" s="71">
        <f>IF(B62&lt;&gt;0,(VLOOKUP($B62,сотрудники!$B$4:$D$217,2,0)),0)</f>
        <v>0</v>
      </c>
      <c r="D62" s="71">
        <f>IF(C62&lt;&gt;0,(VLOOKUP($B62,сотрудники!$B$4:$D$217,3,0)),0)</f>
        <v>0</v>
      </c>
      <c r="E62" s="71">
        <f>IF(D62&lt;&gt;0,(VLOOKUP($B62,сотрудники!$B$4:$E$217,4,0)),0)</f>
        <v>0</v>
      </c>
      <c r="F62" s="72">
        <f t="shared" si="2"/>
        <v>0</v>
      </c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 spans="1:40" x14ac:dyDescent="0.25">
      <c r="A63" s="71">
        <v>630</v>
      </c>
      <c r="B63" s="78">
        <f>сотрудники!B147</f>
        <v>0</v>
      </c>
      <c r="C63" s="71">
        <f>IF(B63&lt;&gt;0,(VLOOKUP($B63,сотрудники!$B$4:$D$217,2,0)),0)</f>
        <v>0</v>
      </c>
      <c r="D63" s="71">
        <f>IF(C63&lt;&gt;0,(VLOOKUP($B63,сотрудники!$B$4:$D$217,3,0)),0)</f>
        <v>0</v>
      </c>
      <c r="E63" s="71">
        <f>IF(D63&lt;&gt;0,(VLOOKUP($B63,сотрудники!$B$4:$E$217,4,0)),0)</f>
        <v>0</v>
      </c>
      <c r="F63" s="72">
        <f t="shared" si="2"/>
        <v>0</v>
      </c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</row>
    <row r="64" spans="1:40" x14ac:dyDescent="0.25">
      <c r="A64" s="71">
        <v>631</v>
      </c>
      <c r="B64" s="78">
        <f>сотрудники!B148</f>
        <v>0</v>
      </c>
      <c r="C64" s="71">
        <f>IF(B64&lt;&gt;0,(VLOOKUP($B64,сотрудники!$B$4:$D$217,2,0)),0)</f>
        <v>0</v>
      </c>
      <c r="D64" s="71">
        <f>IF(C64&lt;&gt;0,(VLOOKUP($B64,сотрудники!$B$4:$D$217,3,0)),0)</f>
        <v>0</v>
      </c>
      <c r="E64" s="71">
        <f>IF(D64&lt;&gt;0,(VLOOKUP($B64,сотрудники!$B$4:$E$217,4,0)),0)</f>
        <v>0</v>
      </c>
      <c r="F64" s="72">
        <f t="shared" si="2"/>
        <v>0</v>
      </c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</row>
    <row r="65" spans="1:40" x14ac:dyDescent="0.25">
      <c r="A65" s="71">
        <v>632</v>
      </c>
      <c r="B65" s="78">
        <f>сотрудники!B149</f>
        <v>0</v>
      </c>
      <c r="C65" s="71">
        <f>IF(B65&lt;&gt;0,(VLOOKUP($B65,сотрудники!$B$4:$D$217,2,0)),0)</f>
        <v>0</v>
      </c>
      <c r="D65" s="71">
        <f>IF(C65&lt;&gt;0,(VLOOKUP($B65,сотрудники!$B$4:$D$217,3,0)),0)</f>
        <v>0</v>
      </c>
      <c r="E65" s="71">
        <f>IF(D65&lt;&gt;0,(VLOOKUP($B65,сотрудники!$B$4:$E$217,4,0)),0)</f>
        <v>0</v>
      </c>
      <c r="F65" s="72">
        <f t="shared" si="2"/>
        <v>0</v>
      </c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</row>
    <row r="66" spans="1:40" x14ac:dyDescent="0.25">
      <c r="A66" s="71">
        <v>633</v>
      </c>
      <c r="B66" s="78">
        <f>сотрудники!B150</f>
        <v>0</v>
      </c>
      <c r="C66" s="71">
        <f>IF(B66&lt;&gt;0,(VLOOKUP($B66,сотрудники!$B$4:$D$217,2,0)),0)</f>
        <v>0</v>
      </c>
      <c r="D66" s="71">
        <f>IF(C66&lt;&gt;0,(VLOOKUP($B66,сотрудники!$B$4:$D$217,3,0)),0)</f>
        <v>0</v>
      </c>
      <c r="E66" s="71">
        <f>IF(D66&lt;&gt;0,(VLOOKUP($B66,сотрудники!$B$4:$E$217,4,0)),0)</f>
        <v>0</v>
      </c>
      <c r="F66" s="72">
        <f t="shared" si="2"/>
        <v>0</v>
      </c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</row>
    <row r="67" spans="1:40" x14ac:dyDescent="0.25">
      <c r="A67" s="71">
        <v>634</v>
      </c>
      <c r="B67" s="78">
        <f>сотрудники!B151</f>
        <v>0</v>
      </c>
      <c r="C67" s="71">
        <f>IF(B67&lt;&gt;0,(VLOOKUP($B67,сотрудники!$B$4:$D$217,2,0)),0)</f>
        <v>0</v>
      </c>
      <c r="D67" s="71">
        <f>IF(C67&lt;&gt;0,(VLOOKUP($B67,сотрудники!$B$4:$D$217,3,0)),0)</f>
        <v>0</v>
      </c>
      <c r="E67" s="71">
        <f>IF(D67&lt;&gt;0,(VLOOKUP($B67,сотрудники!$B$4:$E$217,4,0)),0)</f>
        <v>0</v>
      </c>
      <c r="F67" s="72">
        <f t="shared" si="2"/>
        <v>0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 spans="1:40" x14ac:dyDescent="0.25">
      <c r="A68" s="71">
        <v>635</v>
      </c>
      <c r="B68" s="78">
        <f>сотрудники!B152</f>
        <v>0</v>
      </c>
      <c r="C68" s="71">
        <f>IF(B68&lt;&gt;0,(VLOOKUP($B68,сотрудники!$B$4:$D$217,2,0)),0)</f>
        <v>0</v>
      </c>
      <c r="D68" s="71">
        <f>IF(C68&lt;&gt;0,(VLOOKUP($B68,сотрудники!$B$4:$D$217,3,0)),0)</f>
        <v>0</v>
      </c>
      <c r="E68" s="71">
        <f>IF(D68&lt;&gt;0,(VLOOKUP($B68,сотрудники!$B$4:$E$217,4,0)),0)</f>
        <v>0</v>
      </c>
      <c r="F68" s="72">
        <f t="shared" si="2"/>
        <v>0</v>
      </c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 spans="1:40" x14ac:dyDescent="0.25">
      <c r="A69" s="71">
        <v>636</v>
      </c>
      <c r="B69" s="78">
        <f>сотрудники!B153</f>
        <v>0</v>
      </c>
      <c r="C69" s="71">
        <f>IF(B69&lt;&gt;0,(VLOOKUP($B69,сотрудники!$B$4:$D$217,2,0)),0)</f>
        <v>0</v>
      </c>
      <c r="D69" s="71">
        <f>IF(C69&lt;&gt;0,(VLOOKUP($B69,сотрудники!$B$4:$D$217,3,0)),0)</f>
        <v>0</v>
      </c>
      <c r="E69" s="71">
        <f>IF(D69&lt;&gt;0,(VLOOKUP($B69,сотрудники!$B$4:$E$217,4,0)),0)</f>
        <v>0</v>
      </c>
      <c r="F69" s="72">
        <f t="shared" si="2"/>
        <v>0</v>
      </c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</row>
    <row r="70" spans="1:40" x14ac:dyDescent="0.25">
      <c r="A70" s="71">
        <v>637</v>
      </c>
      <c r="B70" s="78">
        <f>сотрудники!B154</f>
        <v>0</v>
      </c>
      <c r="C70" s="71">
        <f>IF(B70&lt;&gt;0,(VLOOKUP($B70,сотрудники!$B$4:$D$217,2,0)),0)</f>
        <v>0</v>
      </c>
      <c r="D70" s="71">
        <f>IF(C70&lt;&gt;0,(VLOOKUP($B70,сотрудники!$B$4:$D$217,3,0)),0)</f>
        <v>0</v>
      </c>
      <c r="E70" s="71">
        <f>IF(D70&lt;&gt;0,(VLOOKUP($B70,сотрудники!$B$4:$E$217,4,0)),0)</f>
        <v>0</v>
      </c>
      <c r="F70" s="72">
        <f t="shared" si="2"/>
        <v>0</v>
      </c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</row>
    <row r="71" spans="1:40" x14ac:dyDescent="0.25">
      <c r="A71" s="71">
        <v>638</v>
      </c>
      <c r="B71" s="78">
        <f>сотрудники!B155</f>
        <v>0</v>
      </c>
      <c r="C71" s="71">
        <f>IF(B71&lt;&gt;0,(VLOOKUP($B71,сотрудники!$B$4:$D$217,2,0)),0)</f>
        <v>0</v>
      </c>
      <c r="D71" s="71">
        <f>IF(C71&lt;&gt;0,(VLOOKUP($B71,сотрудники!$B$4:$D$217,3,0)),0)</f>
        <v>0</v>
      </c>
      <c r="E71" s="71">
        <f>IF(D71&lt;&gt;0,(VLOOKUP($B71,сотрудники!$B$4:$E$217,4,0)),0)</f>
        <v>0</v>
      </c>
      <c r="F71" s="72">
        <f t="shared" si="2"/>
        <v>0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</row>
    <row r="72" spans="1:40" x14ac:dyDescent="0.25">
      <c r="A72" s="71">
        <v>639</v>
      </c>
      <c r="B72" s="78">
        <f>сотрудники!B156</f>
        <v>0</v>
      </c>
      <c r="C72" s="71">
        <f>IF(B72&lt;&gt;0,(VLOOKUP($B72,сотрудники!$B$4:$D$217,2,0)),0)</f>
        <v>0</v>
      </c>
      <c r="D72" s="71">
        <f>IF(C72&lt;&gt;0,(VLOOKUP($B72,сотрудники!$B$4:$D$217,3,0)),0)</f>
        <v>0</v>
      </c>
      <c r="E72" s="71">
        <f>IF(D72&lt;&gt;0,(VLOOKUP($B72,сотрудники!$B$4:$E$217,4,0)),0)</f>
        <v>0</v>
      </c>
      <c r="F72" s="72">
        <f t="shared" si="2"/>
        <v>0</v>
      </c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</row>
    <row r="73" spans="1:40" x14ac:dyDescent="0.25">
      <c r="A73" s="71">
        <v>640</v>
      </c>
      <c r="B73" s="78">
        <f>сотрудники!B157</f>
        <v>0</v>
      </c>
      <c r="C73" s="71">
        <f>IF(B73&lt;&gt;0,(VLOOKUP($B73,сотрудники!$B$4:$D$217,2,0)),0)</f>
        <v>0</v>
      </c>
      <c r="D73" s="71">
        <f>IF(C73&lt;&gt;0,(VLOOKUP($B73,сотрудники!$B$4:$D$217,3,0)),0)</f>
        <v>0</v>
      </c>
      <c r="E73" s="71">
        <f>IF(D73&lt;&gt;0,(VLOOKUP($B73,сотрудники!$B$4:$E$217,4,0)),0)</f>
        <v>0</v>
      </c>
      <c r="F73" s="72">
        <f t="shared" si="2"/>
        <v>0</v>
      </c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</row>
    <row r="74" spans="1:40" x14ac:dyDescent="0.25">
      <c r="A74" s="71">
        <v>641</v>
      </c>
      <c r="B74" s="78">
        <f>сотрудники!B158</f>
        <v>0</v>
      </c>
      <c r="C74" s="71">
        <f>IF(B74&lt;&gt;0,(VLOOKUP($B74,сотрудники!$B$4:$D$217,2,0)),0)</f>
        <v>0</v>
      </c>
      <c r="D74" s="71">
        <f>IF(C74&lt;&gt;0,(VLOOKUP($B74,сотрудники!$B$4:$D$217,3,0)),0)</f>
        <v>0</v>
      </c>
      <c r="E74" s="71">
        <f>IF(D74&lt;&gt;0,(VLOOKUP($B74,сотрудники!$B$4:$E$217,4,0)),0)</f>
        <v>0</v>
      </c>
      <c r="F74" s="72">
        <f t="shared" si="2"/>
        <v>0</v>
      </c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</row>
    <row r="75" spans="1:40" x14ac:dyDescent="0.25">
      <c r="A75" s="71">
        <v>642</v>
      </c>
      <c r="B75" s="78">
        <f>сотрудники!B159</f>
        <v>0</v>
      </c>
      <c r="C75" s="71">
        <f>IF(B75&lt;&gt;0,(VLOOKUP($B75,сотрудники!$B$4:$D$217,2,0)),0)</f>
        <v>0</v>
      </c>
      <c r="D75" s="71">
        <f>IF(C75&lt;&gt;0,(VLOOKUP($B75,сотрудники!$B$4:$D$217,3,0)),0)</f>
        <v>0</v>
      </c>
      <c r="E75" s="71">
        <f>IF(D75&lt;&gt;0,(VLOOKUP($B75,сотрудники!$B$4:$E$217,4,0)),0)</f>
        <v>0</v>
      </c>
      <c r="F75" s="72">
        <f t="shared" ref="F75:F133" si="3">SUM(G75:AZ75)</f>
        <v>0</v>
      </c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</row>
    <row r="76" spans="1:40" x14ac:dyDescent="0.25">
      <c r="A76" s="71">
        <v>643</v>
      </c>
      <c r="B76" s="78">
        <f>сотрудники!B160</f>
        <v>0</v>
      </c>
      <c r="C76" s="71">
        <f>IF(B76&lt;&gt;0,(VLOOKUP($B76,сотрудники!$B$4:$D$217,2,0)),0)</f>
        <v>0</v>
      </c>
      <c r="D76" s="71">
        <f>IF(C76&lt;&gt;0,(VLOOKUP($B76,сотрудники!$B$4:$D$217,3,0)),0)</f>
        <v>0</v>
      </c>
      <c r="E76" s="71">
        <f>IF(D76&lt;&gt;0,(VLOOKUP($B76,сотрудники!$B$4:$E$217,4,0)),0)</f>
        <v>0</v>
      </c>
      <c r="F76" s="72">
        <f t="shared" si="3"/>
        <v>0</v>
      </c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</row>
    <row r="77" spans="1:40" x14ac:dyDescent="0.25">
      <c r="A77" s="71">
        <v>644</v>
      </c>
      <c r="B77" s="78">
        <f>сотрудники!B161</f>
        <v>0</v>
      </c>
      <c r="C77" s="71">
        <f>IF(B77&lt;&gt;0,(VLOOKUP($B77,сотрудники!$B$4:$D$217,2,0)),0)</f>
        <v>0</v>
      </c>
      <c r="D77" s="71">
        <f>IF(C77&lt;&gt;0,(VLOOKUP($B77,сотрудники!$B$4:$D$217,3,0)),0)</f>
        <v>0</v>
      </c>
      <c r="E77" s="71">
        <f>IF(D77&lt;&gt;0,(VLOOKUP($B77,сотрудники!$B$4:$E$217,4,0)),0)</f>
        <v>0</v>
      </c>
      <c r="F77" s="72">
        <f t="shared" si="3"/>
        <v>0</v>
      </c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</row>
    <row r="78" spans="1:40" x14ac:dyDescent="0.25">
      <c r="A78" s="71">
        <v>645</v>
      </c>
      <c r="B78" s="78">
        <f>сотрудники!B162</f>
        <v>0</v>
      </c>
      <c r="C78" s="71">
        <f>IF(B78&lt;&gt;0,(VLOOKUP($B78,сотрудники!$B$4:$D$217,2,0)),0)</f>
        <v>0</v>
      </c>
      <c r="D78" s="71">
        <f>IF(C78&lt;&gt;0,(VLOOKUP($B78,сотрудники!$B$4:$D$217,3,0)),0)</f>
        <v>0</v>
      </c>
      <c r="E78" s="71">
        <f>IF(D78&lt;&gt;0,(VLOOKUP($B78,сотрудники!$B$4:$E$217,4,0)),0)</f>
        <v>0</v>
      </c>
      <c r="F78" s="72">
        <f t="shared" si="3"/>
        <v>0</v>
      </c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</row>
    <row r="79" spans="1:40" x14ac:dyDescent="0.25">
      <c r="A79" s="71">
        <v>646</v>
      </c>
      <c r="B79" s="78">
        <f>сотрудники!B163</f>
        <v>0</v>
      </c>
      <c r="C79" s="71">
        <f>IF(B79&lt;&gt;0,(VLOOKUP($B79,сотрудники!$B$4:$D$217,2,0)),0)</f>
        <v>0</v>
      </c>
      <c r="D79" s="71">
        <f>IF(C79&lt;&gt;0,(VLOOKUP($B79,сотрудники!$B$4:$D$217,3,0)),0)</f>
        <v>0</v>
      </c>
      <c r="E79" s="71">
        <f>IF(D79&lt;&gt;0,(VLOOKUP($B79,сотрудники!$B$4:$E$217,4,0)),0)</f>
        <v>0</v>
      </c>
      <c r="F79" s="72">
        <f t="shared" si="3"/>
        <v>0</v>
      </c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 spans="1:40" x14ac:dyDescent="0.25">
      <c r="A80" s="71">
        <v>647</v>
      </c>
      <c r="B80" s="78">
        <f>сотрудники!B164</f>
        <v>0</v>
      </c>
      <c r="C80" s="71">
        <f>IF(B80&lt;&gt;0,(VLOOKUP($B80,сотрудники!$B$4:$D$217,2,0)),0)</f>
        <v>0</v>
      </c>
      <c r="D80" s="71">
        <f>IF(C80&lt;&gt;0,(VLOOKUP($B80,сотрудники!$B$4:$D$217,3,0)),0)</f>
        <v>0</v>
      </c>
      <c r="E80" s="71">
        <f>IF(D80&lt;&gt;0,(VLOOKUP($B80,сотрудники!$B$4:$E$217,4,0)),0)</f>
        <v>0</v>
      </c>
      <c r="F80" s="72">
        <f t="shared" si="3"/>
        <v>0</v>
      </c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 spans="1:40" x14ac:dyDescent="0.25">
      <c r="A81" s="71">
        <v>648</v>
      </c>
      <c r="B81" s="78">
        <f>сотрудники!B165</f>
        <v>0</v>
      </c>
      <c r="C81" s="71">
        <f>IF(B81&lt;&gt;0,(VLOOKUP($B81,сотрудники!$B$4:$D$217,2,0)),0)</f>
        <v>0</v>
      </c>
      <c r="D81" s="71">
        <f>IF(C81&lt;&gt;0,(VLOOKUP($B81,сотрудники!$B$4:$D$217,3,0)),0)</f>
        <v>0</v>
      </c>
      <c r="E81" s="71">
        <f>IF(D81&lt;&gt;0,(VLOOKUP($B81,сотрудники!$B$4:$E$217,4,0)),0)</f>
        <v>0</v>
      </c>
      <c r="F81" s="72">
        <f t="shared" si="3"/>
        <v>0</v>
      </c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 spans="1:40" x14ac:dyDescent="0.25">
      <c r="A82" s="71">
        <v>649</v>
      </c>
      <c r="B82" s="78">
        <f>сотрудники!B166</f>
        <v>0</v>
      </c>
      <c r="C82" s="71">
        <f>IF(B82&lt;&gt;0,(VLOOKUP($B82,сотрудники!$B$4:$D$217,2,0)),0)</f>
        <v>0</v>
      </c>
      <c r="D82" s="71">
        <f>IF(C82&lt;&gt;0,(VLOOKUP($B82,сотрудники!$B$4:$D$217,3,0)),0)</f>
        <v>0</v>
      </c>
      <c r="E82" s="71">
        <f>IF(D82&lt;&gt;0,(VLOOKUP($B82,сотрудники!$B$4:$E$217,4,0)),0)</f>
        <v>0</v>
      </c>
      <c r="F82" s="72">
        <f t="shared" si="3"/>
        <v>0</v>
      </c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 spans="1:40" x14ac:dyDescent="0.25">
      <c r="A83" s="71">
        <v>650</v>
      </c>
      <c r="B83" s="78">
        <f>сотрудники!B167</f>
        <v>0</v>
      </c>
      <c r="C83" s="71">
        <f>IF(B83&lt;&gt;0,(VLOOKUP($B83,сотрудники!$B$4:$D$217,2,0)),0)</f>
        <v>0</v>
      </c>
      <c r="D83" s="71">
        <f>IF(C83&lt;&gt;0,(VLOOKUP($B83,сотрудники!$B$4:$D$217,3,0)),0)</f>
        <v>0</v>
      </c>
      <c r="E83" s="71">
        <f>IF(D83&lt;&gt;0,(VLOOKUP($B83,сотрудники!$B$4:$E$217,4,0)),0)</f>
        <v>0</v>
      </c>
      <c r="F83" s="72">
        <f t="shared" si="3"/>
        <v>0</v>
      </c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 spans="1:40" x14ac:dyDescent="0.25">
      <c r="A84" s="71">
        <v>651</v>
      </c>
      <c r="B84" s="78">
        <f>сотрудники!B168</f>
        <v>0</v>
      </c>
      <c r="C84" s="71">
        <f>IF(B84&lt;&gt;0,(VLOOKUP($B84,сотрудники!$B$4:$D$217,2,0)),0)</f>
        <v>0</v>
      </c>
      <c r="D84" s="71">
        <f>IF(C84&lt;&gt;0,(VLOOKUP($B84,сотрудники!$B$4:$D$217,3,0)),0)</f>
        <v>0</v>
      </c>
      <c r="E84" s="71">
        <f>IF(D84&lt;&gt;0,(VLOOKUP($B84,сотрудники!$B$4:$E$217,4,0)),0)</f>
        <v>0</v>
      </c>
      <c r="F84" s="72">
        <f t="shared" si="3"/>
        <v>0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 spans="1:40" x14ac:dyDescent="0.25">
      <c r="A85" s="71">
        <v>652</v>
      </c>
      <c r="B85" s="78">
        <f>сотрудники!B169</f>
        <v>0</v>
      </c>
      <c r="C85" s="71">
        <f>IF(B85&lt;&gt;0,(VLOOKUP($B85,сотрудники!$B$4:$D$217,2,0)),0)</f>
        <v>0</v>
      </c>
      <c r="D85" s="71">
        <f>IF(C85&lt;&gt;0,(VLOOKUP($B85,сотрудники!$B$4:$D$217,3,0)),0)</f>
        <v>0</v>
      </c>
      <c r="E85" s="71">
        <f>IF(D85&lt;&gt;0,(VLOOKUP($B85,сотрудники!$B$4:$E$217,4,0)),0)</f>
        <v>0</v>
      </c>
      <c r="F85" s="72">
        <f t="shared" si="3"/>
        <v>0</v>
      </c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 spans="1:40" x14ac:dyDescent="0.25">
      <c r="A86" s="71">
        <v>653</v>
      </c>
      <c r="B86" s="78">
        <f>сотрудники!B170</f>
        <v>0</v>
      </c>
      <c r="C86" s="71">
        <f>IF(B86&lt;&gt;0,(VLOOKUP($B86,сотрудники!$B$4:$D$217,2,0)),0)</f>
        <v>0</v>
      </c>
      <c r="D86" s="71">
        <f>IF(C86&lt;&gt;0,(VLOOKUP($B86,сотрудники!$B$4:$D$217,3,0)),0)</f>
        <v>0</v>
      </c>
      <c r="E86" s="71">
        <f>IF(D86&lt;&gt;0,(VLOOKUP($B86,сотрудники!$B$4:$E$217,4,0)),0)</f>
        <v>0</v>
      </c>
      <c r="F86" s="72">
        <f t="shared" si="3"/>
        <v>0</v>
      </c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 spans="1:40" x14ac:dyDescent="0.25">
      <c r="A87" s="71">
        <v>654</v>
      </c>
      <c r="B87" s="78">
        <f>сотрудники!B171</f>
        <v>0</v>
      </c>
      <c r="C87" s="71">
        <f>IF(B87&lt;&gt;0,(VLOOKUP($B87,сотрудники!$B$4:$D$217,2,0)),0)</f>
        <v>0</v>
      </c>
      <c r="D87" s="71">
        <f>IF(C87&lt;&gt;0,(VLOOKUP($B87,сотрудники!$B$4:$D$217,3,0)),0)</f>
        <v>0</v>
      </c>
      <c r="E87" s="71">
        <f>IF(D87&lt;&gt;0,(VLOOKUP($B87,сотрудники!$B$4:$E$217,4,0)),0)</f>
        <v>0</v>
      </c>
      <c r="F87" s="72">
        <f t="shared" si="3"/>
        <v>0</v>
      </c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 spans="1:40" x14ac:dyDescent="0.25">
      <c r="A88" s="71">
        <v>655</v>
      </c>
      <c r="B88" s="78">
        <f>сотрудники!B172</f>
        <v>0</v>
      </c>
      <c r="C88" s="71">
        <f>IF(B88&lt;&gt;0,(VLOOKUP($B88,сотрудники!$B$4:$D$217,2,0)),0)</f>
        <v>0</v>
      </c>
      <c r="D88" s="71">
        <f>IF(C88&lt;&gt;0,(VLOOKUP($B88,сотрудники!$B$4:$D$217,3,0)),0)</f>
        <v>0</v>
      </c>
      <c r="E88" s="71">
        <f>IF(D88&lt;&gt;0,(VLOOKUP($B88,сотрудники!$B$4:$E$217,4,0)),0)</f>
        <v>0</v>
      </c>
      <c r="F88" s="72">
        <f t="shared" si="3"/>
        <v>0</v>
      </c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 spans="1:40" x14ac:dyDescent="0.25">
      <c r="A89" s="71">
        <v>656</v>
      </c>
      <c r="B89" s="78">
        <f>сотрудники!B173</f>
        <v>0</v>
      </c>
      <c r="C89" s="71">
        <f>IF(B89&lt;&gt;0,(VLOOKUP($B89,сотрудники!$B$4:$D$217,2,0)),0)</f>
        <v>0</v>
      </c>
      <c r="D89" s="71">
        <f>IF(C89&lt;&gt;0,(VLOOKUP($B89,сотрудники!$B$4:$D$217,3,0)),0)</f>
        <v>0</v>
      </c>
      <c r="E89" s="71">
        <f>IF(D89&lt;&gt;0,(VLOOKUP($B89,сотрудники!$B$4:$E$217,4,0)),0)</f>
        <v>0</v>
      </c>
      <c r="F89" s="72">
        <f t="shared" si="3"/>
        <v>0</v>
      </c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 spans="1:40" x14ac:dyDescent="0.25">
      <c r="A90" s="71">
        <v>657</v>
      </c>
      <c r="B90" s="78">
        <f>сотрудники!B174</f>
        <v>0</v>
      </c>
      <c r="C90" s="71">
        <f>IF(B90&lt;&gt;0,(VLOOKUP($B90,сотрудники!$B$4:$D$217,2,0)),0)</f>
        <v>0</v>
      </c>
      <c r="D90" s="71">
        <f>IF(C90&lt;&gt;0,(VLOOKUP($B90,сотрудники!$B$4:$D$217,3,0)),0)</f>
        <v>0</v>
      </c>
      <c r="E90" s="71">
        <f>IF(D90&lt;&gt;0,(VLOOKUP($B90,сотрудники!$B$4:$E$217,4,0)),0)</f>
        <v>0</v>
      </c>
      <c r="F90" s="72">
        <f t="shared" si="3"/>
        <v>0</v>
      </c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 spans="1:40" x14ac:dyDescent="0.25">
      <c r="A91" s="71">
        <v>658</v>
      </c>
      <c r="B91" s="78">
        <f>сотрудники!B175</f>
        <v>0</v>
      </c>
      <c r="C91" s="71">
        <f>IF(B91&lt;&gt;0,(VLOOKUP($B91,сотрудники!$B$4:$D$217,2,0)),0)</f>
        <v>0</v>
      </c>
      <c r="D91" s="71">
        <f>IF(C91&lt;&gt;0,(VLOOKUP($B91,сотрудники!$B$4:$D$217,3,0)),0)</f>
        <v>0</v>
      </c>
      <c r="E91" s="71">
        <f>IF(D91&lt;&gt;0,(VLOOKUP($B91,сотрудники!$B$4:$E$217,4,0)),0)</f>
        <v>0</v>
      </c>
      <c r="F91" s="72">
        <f t="shared" si="3"/>
        <v>0</v>
      </c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</row>
    <row r="92" spans="1:40" x14ac:dyDescent="0.25">
      <c r="A92" s="71">
        <v>659</v>
      </c>
      <c r="B92" s="78">
        <f>сотрудники!B176</f>
        <v>0</v>
      </c>
      <c r="C92" s="71">
        <f>IF(B92&lt;&gt;0,(VLOOKUP($B92,сотрудники!$B$4:$D$217,2,0)),0)</f>
        <v>0</v>
      </c>
      <c r="D92" s="71">
        <f>IF(C92&lt;&gt;0,(VLOOKUP($B92,сотрудники!$B$4:$D$217,3,0)),0)</f>
        <v>0</v>
      </c>
      <c r="E92" s="71">
        <f>IF(D92&lt;&gt;0,(VLOOKUP($B92,сотрудники!$B$4:$E$217,4,0)),0)</f>
        <v>0</v>
      </c>
      <c r="F92" s="72">
        <f t="shared" si="3"/>
        <v>0</v>
      </c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</row>
    <row r="93" spans="1:40" x14ac:dyDescent="0.25">
      <c r="A93" s="71">
        <v>660</v>
      </c>
      <c r="B93" s="78">
        <f>сотрудники!B177</f>
        <v>0</v>
      </c>
      <c r="C93" s="71">
        <f>IF(B93&lt;&gt;0,(VLOOKUP($B93,сотрудники!$B$4:$D$217,2,0)),0)</f>
        <v>0</v>
      </c>
      <c r="D93" s="71">
        <f>IF(C93&lt;&gt;0,(VLOOKUP($B93,сотрудники!$B$4:$D$217,3,0)),0)</f>
        <v>0</v>
      </c>
      <c r="E93" s="71">
        <f>IF(D93&lt;&gt;0,(VLOOKUP($B93,сотрудники!$B$4:$E$217,4,0)),0)</f>
        <v>0</v>
      </c>
      <c r="F93" s="72">
        <f t="shared" si="3"/>
        <v>0</v>
      </c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</row>
    <row r="94" spans="1:40" x14ac:dyDescent="0.25">
      <c r="A94" s="71">
        <v>661</v>
      </c>
      <c r="B94" s="78">
        <f>сотрудники!B178</f>
        <v>0</v>
      </c>
      <c r="C94" s="71">
        <f>IF(B94&lt;&gt;0,(VLOOKUP($B94,сотрудники!$B$4:$D$217,2,0)),0)</f>
        <v>0</v>
      </c>
      <c r="D94" s="71">
        <f>IF(C94&lt;&gt;0,(VLOOKUP($B94,сотрудники!$B$4:$D$217,3,0)),0)</f>
        <v>0</v>
      </c>
      <c r="E94" s="71">
        <f>IF(D94&lt;&gt;0,(VLOOKUP($B94,сотрудники!$B$4:$E$217,4,0)),0)</f>
        <v>0</v>
      </c>
      <c r="F94" s="72">
        <f t="shared" si="3"/>
        <v>0</v>
      </c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</row>
    <row r="95" spans="1:40" x14ac:dyDescent="0.25">
      <c r="A95" s="71">
        <v>662</v>
      </c>
      <c r="B95" s="78">
        <f>сотрудники!B179</f>
        <v>0</v>
      </c>
      <c r="C95" s="71">
        <f>IF(B95&lt;&gt;0,(VLOOKUP($B95,сотрудники!$B$4:$D$217,2,0)),0)</f>
        <v>0</v>
      </c>
      <c r="D95" s="71">
        <f>IF(C95&lt;&gt;0,(VLOOKUP($B95,сотрудники!$B$4:$D$217,3,0)),0)</f>
        <v>0</v>
      </c>
      <c r="E95" s="71">
        <f>IF(D95&lt;&gt;0,(VLOOKUP($B95,сотрудники!$B$4:$E$217,4,0)),0)</f>
        <v>0</v>
      </c>
      <c r="F95" s="72">
        <f t="shared" si="3"/>
        <v>0</v>
      </c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</row>
    <row r="96" spans="1:40" x14ac:dyDescent="0.25">
      <c r="A96" s="71">
        <v>663</v>
      </c>
      <c r="B96" s="78">
        <f>сотрудники!B180</f>
        <v>0</v>
      </c>
      <c r="C96" s="71">
        <f>IF(B96&lt;&gt;0,(VLOOKUP($B96,сотрудники!$B$4:$D$217,2,0)),0)</f>
        <v>0</v>
      </c>
      <c r="D96" s="71">
        <f>IF(C96&lt;&gt;0,(VLOOKUP($B96,сотрудники!$B$4:$D$217,3,0)),0)</f>
        <v>0</v>
      </c>
      <c r="E96" s="71">
        <f>IF(D96&lt;&gt;0,(VLOOKUP($B96,сотрудники!$B$4:$E$217,4,0)),0)</f>
        <v>0</v>
      </c>
      <c r="F96" s="72">
        <f t="shared" si="3"/>
        <v>0</v>
      </c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</row>
    <row r="97" spans="1:40" x14ac:dyDescent="0.25">
      <c r="A97" s="71">
        <v>664</v>
      </c>
      <c r="B97" s="78">
        <f>сотрудники!B181</f>
        <v>0</v>
      </c>
      <c r="C97" s="71">
        <f>IF(B97&lt;&gt;0,(VLOOKUP($B97,сотрудники!$B$4:$D$217,2,0)),0)</f>
        <v>0</v>
      </c>
      <c r="D97" s="71">
        <f>IF(C97&lt;&gt;0,(VLOOKUP($B97,сотрудники!$B$4:$D$217,3,0)),0)</f>
        <v>0</v>
      </c>
      <c r="E97" s="71">
        <f>IF(D97&lt;&gt;0,(VLOOKUP($B97,сотрудники!$B$4:$E$217,4,0)),0)</f>
        <v>0</v>
      </c>
      <c r="F97" s="72">
        <f t="shared" si="3"/>
        <v>0</v>
      </c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</row>
    <row r="98" spans="1:40" x14ac:dyDescent="0.25">
      <c r="A98" s="71">
        <v>665</v>
      </c>
      <c r="B98" s="78">
        <f>сотрудники!B182</f>
        <v>0</v>
      </c>
      <c r="C98" s="71">
        <f>IF(B98&lt;&gt;0,(VLOOKUP($B98,сотрудники!$B$4:$D$217,2,0)),0)</f>
        <v>0</v>
      </c>
      <c r="D98" s="71">
        <f>IF(C98&lt;&gt;0,(VLOOKUP($B98,сотрудники!$B$4:$D$217,3,0)),0)</f>
        <v>0</v>
      </c>
      <c r="E98" s="71">
        <f>IF(D98&lt;&gt;0,(VLOOKUP($B98,сотрудники!$B$4:$E$217,4,0)),0)</f>
        <v>0</v>
      </c>
      <c r="F98" s="72">
        <f t="shared" si="3"/>
        <v>0</v>
      </c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</row>
    <row r="99" spans="1:40" x14ac:dyDescent="0.25">
      <c r="A99" s="71">
        <v>666</v>
      </c>
      <c r="B99" s="78">
        <f>сотрудники!B183</f>
        <v>0</v>
      </c>
      <c r="C99" s="71">
        <f>IF(B99&lt;&gt;0,(VLOOKUP($B99,сотрудники!$B$4:$D$217,2,0)),0)</f>
        <v>0</v>
      </c>
      <c r="D99" s="71">
        <f>IF(C99&lt;&gt;0,(VLOOKUP($B99,сотрудники!$B$4:$D$217,3,0)),0)</f>
        <v>0</v>
      </c>
      <c r="E99" s="71">
        <f>IF(D99&lt;&gt;0,(VLOOKUP($B99,сотрудники!$B$4:$E$217,4,0)),0)</f>
        <v>0</v>
      </c>
      <c r="F99" s="72">
        <f t="shared" si="3"/>
        <v>0</v>
      </c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</row>
    <row r="100" spans="1:40" x14ac:dyDescent="0.25">
      <c r="A100" s="71">
        <v>667</v>
      </c>
      <c r="B100" s="78">
        <f>сотрудники!B184</f>
        <v>0</v>
      </c>
      <c r="C100" s="71">
        <f>IF(B100&lt;&gt;0,(VLOOKUP($B100,сотрудники!$B$4:$D$217,2,0)),0)</f>
        <v>0</v>
      </c>
      <c r="D100" s="71">
        <f>IF(C100&lt;&gt;0,(VLOOKUP($B100,сотрудники!$B$4:$D$217,3,0)),0)</f>
        <v>0</v>
      </c>
      <c r="E100" s="71">
        <f>IF(D100&lt;&gt;0,(VLOOKUP($B100,сотрудники!$B$4:$E$217,4,0)),0)</f>
        <v>0</v>
      </c>
      <c r="F100" s="72">
        <f t="shared" si="3"/>
        <v>0</v>
      </c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</row>
    <row r="101" spans="1:40" x14ac:dyDescent="0.25">
      <c r="A101" s="71">
        <v>668</v>
      </c>
      <c r="B101" s="78">
        <f>сотрудники!B185</f>
        <v>0</v>
      </c>
      <c r="C101" s="71">
        <f>IF(B101&lt;&gt;0,(VLOOKUP($B101,сотрудники!$B$4:$D$217,2,0)),0)</f>
        <v>0</v>
      </c>
      <c r="D101" s="71">
        <f>IF(C101&lt;&gt;0,(VLOOKUP($B101,сотрудники!$B$4:$D$217,3,0)),0)</f>
        <v>0</v>
      </c>
      <c r="E101" s="71">
        <f>IF(D101&lt;&gt;0,(VLOOKUP($B101,сотрудники!$B$4:$E$217,4,0)),0)</f>
        <v>0</v>
      </c>
      <c r="F101" s="72">
        <f t="shared" si="3"/>
        <v>0</v>
      </c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</row>
    <row r="102" spans="1:40" x14ac:dyDescent="0.25">
      <c r="A102" s="71">
        <v>669</v>
      </c>
      <c r="B102" s="78">
        <f>сотрудники!B186</f>
        <v>0</v>
      </c>
      <c r="C102" s="71">
        <f>IF(B102&lt;&gt;0,(VLOOKUP($B102,сотрудники!$B$4:$D$217,2,0)),0)</f>
        <v>0</v>
      </c>
      <c r="D102" s="71">
        <f>IF(C102&lt;&gt;0,(VLOOKUP($B102,сотрудники!$B$4:$D$217,3,0)),0)</f>
        <v>0</v>
      </c>
      <c r="E102" s="71">
        <f>IF(D102&lt;&gt;0,(VLOOKUP($B102,сотрудники!$B$4:$E$217,4,0)),0)</f>
        <v>0</v>
      </c>
      <c r="F102" s="72">
        <f t="shared" si="3"/>
        <v>0</v>
      </c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</row>
    <row r="103" spans="1:40" x14ac:dyDescent="0.25">
      <c r="A103" s="71">
        <v>670</v>
      </c>
      <c r="B103" s="78">
        <f>сотрудники!B187</f>
        <v>0</v>
      </c>
      <c r="C103" s="71">
        <f>IF(B103&lt;&gt;0,(VLOOKUP($B103,сотрудники!$B$4:$D$217,2,0)),0)</f>
        <v>0</v>
      </c>
      <c r="D103" s="71">
        <f>IF(C103&lt;&gt;0,(VLOOKUP($B103,сотрудники!$B$4:$D$217,3,0)),0)</f>
        <v>0</v>
      </c>
      <c r="E103" s="71">
        <f>IF(D103&lt;&gt;0,(VLOOKUP($B103,сотрудники!$B$4:$E$217,4,0)),0)</f>
        <v>0</v>
      </c>
      <c r="F103" s="72">
        <f t="shared" si="3"/>
        <v>0</v>
      </c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</row>
    <row r="104" spans="1:40" x14ac:dyDescent="0.25">
      <c r="A104" s="71">
        <v>671</v>
      </c>
      <c r="B104" s="78">
        <f>сотрудники!B188</f>
        <v>0</v>
      </c>
      <c r="C104" s="71">
        <f>IF(B104&lt;&gt;0,(VLOOKUP($B104,сотрудники!$B$4:$D$217,2,0)),0)</f>
        <v>0</v>
      </c>
      <c r="D104" s="71">
        <f>IF(C104&lt;&gt;0,(VLOOKUP($B104,сотрудники!$B$4:$D$217,3,0)),0)</f>
        <v>0</v>
      </c>
      <c r="E104" s="71">
        <f>IF(D104&lt;&gt;0,(VLOOKUP($B104,сотрудники!$B$4:$E$217,4,0)),0)</f>
        <v>0</v>
      </c>
      <c r="F104" s="72">
        <f t="shared" si="3"/>
        <v>0</v>
      </c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</row>
    <row r="105" spans="1:40" x14ac:dyDescent="0.25">
      <c r="A105" s="71">
        <v>672</v>
      </c>
      <c r="B105" s="78">
        <f>сотрудники!B189</f>
        <v>0</v>
      </c>
      <c r="C105" s="71">
        <f>IF(B105&lt;&gt;0,(VLOOKUP($B105,сотрудники!$B$4:$D$217,2,0)),0)</f>
        <v>0</v>
      </c>
      <c r="D105" s="71">
        <f>IF(C105&lt;&gt;0,(VLOOKUP($B105,сотрудники!$B$4:$D$217,3,0)),0)</f>
        <v>0</v>
      </c>
      <c r="E105" s="71">
        <f>IF(D105&lt;&gt;0,(VLOOKUP($B105,сотрудники!$B$4:$E$217,4,0)),0)</f>
        <v>0</v>
      </c>
      <c r="F105" s="72">
        <f t="shared" si="3"/>
        <v>0</v>
      </c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</row>
    <row r="106" spans="1:40" x14ac:dyDescent="0.25">
      <c r="A106" s="71">
        <v>673</v>
      </c>
      <c r="B106" s="78">
        <f>сотрудники!B190</f>
        <v>0</v>
      </c>
      <c r="C106" s="71">
        <f>IF(B106&lt;&gt;0,(VLOOKUP($B106,сотрудники!$B$4:$D$217,2,0)),0)</f>
        <v>0</v>
      </c>
      <c r="D106" s="71">
        <f>IF(C106&lt;&gt;0,(VLOOKUP($B106,сотрудники!$B$4:$D$217,3,0)),0)</f>
        <v>0</v>
      </c>
      <c r="E106" s="71">
        <f>IF(D106&lt;&gt;0,(VLOOKUP($B106,сотрудники!$B$4:$E$217,4,0)),0)</f>
        <v>0</v>
      </c>
      <c r="F106" s="72">
        <f t="shared" si="3"/>
        <v>0</v>
      </c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</row>
    <row r="107" spans="1:40" x14ac:dyDescent="0.25">
      <c r="A107" s="71">
        <v>674</v>
      </c>
      <c r="B107" s="78">
        <f>сотрудники!B191</f>
        <v>0</v>
      </c>
      <c r="C107" s="71">
        <f>IF(B107&lt;&gt;0,(VLOOKUP($B107,сотрудники!$B$4:$D$217,2,0)),0)</f>
        <v>0</v>
      </c>
      <c r="D107" s="71">
        <f>IF(C107&lt;&gt;0,(VLOOKUP($B107,сотрудники!$B$4:$D$217,3,0)),0)</f>
        <v>0</v>
      </c>
      <c r="E107" s="71">
        <f>IF(D107&lt;&gt;0,(VLOOKUP($B107,сотрудники!$B$4:$E$217,4,0)),0)</f>
        <v>0</v>
      </c>
      <c r="F107" s="72">
        <f t="shared" si="3"/>
        <v>0</v>
      </c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</row>
    <row r="108" spans="1:40" x14ac:dyDescent="0.25">
      <c r="A108" s="71">
        <v>675</v>
      </c>
      <c r="B108" s="78">
        <f>сотрудники!B192</f>
        <v>0</v>
      </c>
      <c r="C108" s="71">
        <f>IF(B108&lt;&gt;0,(VLOOKUP($B108,сотрудники!$B$4:$D$217,2,0)),0)</f>
        <v>0</v>
      </c>
      <c r="D108" s="71">
        <f>IF(C108&lt;&gt;0,(VLOOKUP($B108,сотрудники!$B$4:$D$217,3,0)),0)</f>
        <v>0</v>
      </c>
      <c r="E108" s="71">
        <f>IF(D108&lt;&gt;0,(VLOOKUP($B108,сотрудники!$B$4:$E$217,4,0)),0)</f>
        <v>0</v>
      </c>
      <c r="F108" s="72">
        <f t="shared" si="3"/>
        <v>0</v>
      </c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</row>
    <row r="109" spans="1:40" x14ac:dyDescent="0.25">
      <c r="A109" s="71">
        <v>676</v>
      </c>
      <c r="B109" s="78">
        <f>сотрудники!B193</f>
        <v>0</v>
      </c>
      <c r="C109" s="71">
        <f>IF(B109&lt;&gt;0,(VLOOKUP($B109,сотрудники!$B$4:$D$217,2,0)),0)</f>
        <v>0</v>
      </c>
      <c r="D109" s="71">
        <f>IF(C109&lt;&gt;0,(VLOOKUP($B109,сотрудники!$B$4:$D$217,3,0)),0)</f>
        <v>0</v>
      </c>
      <c r="E109" s="71">
        <f>IF(D109&lt;&gt;0,(VLOOKUP($B109,сотрудники!$B$4:$E$217,4,0)),0)</f>
        <v>0</v>
      </c>
      <c r="F109" s="72">
        <f t="shared" si="3"/>
        <v>0</v>
      </c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</row>
    <row r="110" spans="1:40" x14ac:dyDescent="0.25">
      <c r="A110" s="71">
        <v>677</v>
      </c>
      <c r="B110" s="78">
        <f>сотрудники!B194</f>
        <v>0</v>
      </c>
      <c r="C110" s="71">
        <f>IF(B110&lt;&gt;0,(VLOOKUP($B110,сотрудники!$B$4:$D$217,2,0)),0)</f>
        <v>0</v>
      </c>
      <c r="D110" s="71">
        <f>IF(C110&lt;&gt;0,(VLOOKUP($B110,сотрудники!$B$4:$D$217,3,0)),0)</f>
        <v>0</v>
      </c>
      <c r="E110" s="71">
        <f>IF(D110&lt;&gt;0,(VLOOKUP($B110,сотрудники!$B$4:$E$217,4,0)),0)</f>
        <v>0</v>
      </c>
      <c r="F110" s="72">
        <f t="shared" si="3"/>
        <v>0</v>
      </c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</row>
    <row r="111" spans="1:40" x14ac:dyDescent="0.25">
      <c r="A111" s="71">
        <v>678</v>
      </c>
      <c r="B111" s="78">
        <f>сотрудники!B195</f>
        <v>0</v>
      </c>
      <c r="C111" s="71">
        <f>IF(B111&lt;&gt;0,(VLOOKUP($B111,сотрудники!$B$4:$D$217,2,0)),0)</f>
        <v>0</v>
      </c>
      <c r="D111" s="71">
        <f>IF(C111&lt;&gt;0,(VLOOKUP($B111,сотрудники!$B$4:$D$217,3,0)),0)</f>
        <v>0</v>
      </c>
      <c r="E111" s="71">
        <f>IF(D111&lt;&gt;0,(VLOOKUP($B111,сотрудники!$B$4:$E$217,4,0)),0)</f>
        <v>0</v>
      </c>
      <c r="F111" s="72">
        <f t="shared" si="3"/>
        <v>0</v>
      </c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</row>
    <row r="112" spans="1:40" x14ac:dyDescent="0.25">
      <c r="A112" s="71">
        <v>679</v>
      </c>
      <c r="B112" s="78">
        <f>сотрудники!B196</f>
        <v>0</v>
      </c>
      <c r="C112" s="71">
        <f>IF(B112&lt;&gt;0,(VLOOKUP($B112,сотрудники!$B$4:$D$217,2,0)),0)</f>
        <v>0</v>
      </c>
      <c r="D112" s="71">
        <f>IF(C112&lt;&gt;0,(VLOOKUP($B112,сотрудники!$B$4:$D$217,3,0)),0)</f>
        <v>0</v>
      </c>
      <c r="E112" s="71">
        <f>IF(D112&lt;&gt;0,(VLOOKUP($B112,сотрудники!$B$4:$E$217,4,0)),0)</f>
        <v>0</v>
      </c>
      <c r="F112" s="72">
        <f t="shared" si="3"/>
        <v>0</v>
      </c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</row>
    <row r="113" spans="1:40" x14ac:dyDescent="0.25">
      <c r="A113" s="71">
        <v>680</v>
      </c>
      <c r="B113" s="78">
        <f>сотрудники!B197</f>
        <v>0</v>
      </c>
      <c r="C113" s="71">
        <f>IF(B113&lt;&gt;0,(VLOOKUP($B113,сотрудники!$B$4:$D$217,2,0)),0)</f>
        <v>0</v>
      </c>
      <c r="D113" s="71">
        <f>IF(C113&lt;&gt;0,(VLOOKUP($B113,сотрудники!$B$4:$D$217,3,0)),0)</f>
        <v>0</v>
      </c>
      <c r="E113" s="71">
        <f>IF(D113&lt;&gt;0,(VLOOKUP($B113,сотрудники!$B$4:$E$217,4,0)),0)</f>
        <v>0</v>
      </c>
      <c r="F113" s="72">
        <f t="shared" si="3"/>
        <v>0</v>
      </c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</row>
    <row r="114" spans="1:40" x14ac:dyDescent="0.25">
      <c r="A114" s="71">
        <v>681</v>
      </c>
      <c r="B114" s="78">
        <f>сотрудники!B198</f>
        <v>0</v>
      </c>
      <c r="C114" s="71">
        <f>IF(B114&lt;&gt;0,(VLOOKUP($B114,сотрудники!$B$4:$D$217,2,0)),0)</f>
        <v>0</v>
      </c>
      <c r="D114" s="71">
        <f>IF(C114&lt;&gt;0,(VLOOKUP($B114,сотрудники!$B$4:$D$217,3,0)),0)</f>
        <v>0</v>
      </c>
      <c r="E114" s="71">
        <f>IF(D114&lt;&gt;0,(VLOOKUP($B114,сотрудники!$B$4:$E$217,4,0)),0)</f>
        <v>0</v>
      </c>
      <c r="F114" s="72">
        <f t="shared" si="3"/>
        <v>0</v>
      </c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</row>
    <row r="115" spans="1:40" x14ac:dyDescent="0.25">
      <c r="A115" s="71">
        <v>682</v>
      </c>
      <c r="B115" s="78">
        <f>сотрудники!B199</f>
        <v>0</v>
      </c>
      <c r="C115" s="71">
        <f>IF(B115&lt;&gt;0,(VLOOKUP($B115,сотрудники!$B$4:$D$217,2,0)),0)</f>
        <v>0</v>
      </c>
      <c r="D115" s="71">
        <f>IF(C115&lt;&gt;0,(VLOOKUP($B115,сотрудники!$B$4:$D$217,3,0)),0)</f>
        <v>0</v>
      </c>
      <c r="E115" s="71">
        <f>IF(D115&lt;&gt;0,(VLOOKUP($B115,сотрудники!$B$4:$E$217,4,0)),0)</f>
        <v>0</v>
      </c>
      <c r="F115" s="72">
        <f t="shared" si="3"/>
        <v>0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</row>
    <row r="116" spans="1:40" x14ac:dyDescent="0.25">
      <c r="A116" s="71">
        <v>683</v>
      </c>
      <c r="B116" s="78">
        <f>сотрудники!B200</f>
        <v>0</v>
      </c>
      <c r="C116" s="71">
        <f>IF(B116&lt;&gt;0,(VLOOKUP($B116,сотрудники!$B$4:$D$217,2,0)),0)</f>
        <v>0</v>
      </c>
      <c r="D116" s="71">
        <f>IF(C116&lt;&gt;0,(VLOOKUP($B116,сотрудники!$B$4:$D$217,3,0)),0)</f>
        <v>0</v>
      </c>
      <c r="E116" s="71">
        <f>IF(D116&lt;&gt;0,(VLOOKUP($B116,сотрудники!$B$4:$E$217,4,0)),0)</f>
        <v>0</v>
      </c>
      <c r="F116" s="72">
        <f t="shared" si="3"/>
        <v>0</v>
      </c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</row>
    <row r="117" spans="1:40" x14ac:dyDescent="0.25">
      <c r="A117" s="71">
        <v>684</v>
      </c>
      <c r="B117" s="78">
        <f>сотрудники!B201</f>
        <v>0</v>
      </c>
      <c r="C117" s="71">
        <f>IF(B117&lt;&gt;0,(VLOOKUP($B117,сотрудники!$B$4:$D$217,2,0)),0)</f>
        <v>0</v>
      </c>
      <c r="D117" s="71">
        <f>IF(C117&lt;&gt;0,(VLOOKUP($B117,сотрудники!$B$4:$D$217,3,0)),0)</f>
        <v>0</v>
      </c>
      <c r="E117" s="71">
        <f>IF(D117&lt;&gt;0,(VLOOKUP($B117,сотрудники!$B$4:$E$217,4,0)),0)</f>
        <v>0</v>
      </c>
      <c r="F117" s="72">
        <f t="shared" si="3"/>
        <v>0</v>
      </c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</row>
    <row r="118" spans="1:40" x14ac:dyDescent="0.25">
      <c r="A118" s="71">
        <v>685</v>
      </c>
      <c r="B118" s="78">
        <f>сотрудники!B202</f>
        <v>0</v>
      </c>
      <c r="C118" s="71">
        <f>IF(B118&lt;&gt;0,(VLOOKUP($B118,сотрудники!$B$4:$D$217,2,0)),0)</f>
        <v>0</v>
      </c>
      <c r="D118" s="71">
        <f>IF(C118&lt;&gt;0,(VLOOKUP($B118,сотрудники!$B$4:$D$217,3,0)),0)</f>
        <v>0</v>
      </c>
      <c r="E118" s="71">
        <f>IF(D118&lt;&gt;0,(VLOOKUP($B118,сотрудники!$B$4:$E$217,4,0)),0)</f>
        <v>0</v>
      </c>
      <c r="F118" s="72">
        <f t="shared" si="3"/>
        <v>0</v>
      </c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</row>
    <row r="119" spans="1:40" x14ac:dyDescent="0.25">
      <c r="A119" s="71">
        <v>686</v>
      </c>
      <c r="B119" s="78">
        <f>сотрудники!B203</f>
        <v>0</v>
      </c>
      <c r="C119" s="71">
        <f>IF(B119&lt;&gt;0,(VLOOKUP($B119,сотрудники!$B$4:$D$217,2,0)),0)</f>
        <v>0</v>
      </c>
      <c r="D119" s="71">
        <f>IF(C119&lt;&gt;0,(VLOOKUP($B119,сотрудники!$B$4:$D$217,3,0)),0)</f>
        <v>0</v>
      </c>
      <c r="E119" s="71">
        <f>IF(D119&lt;&gt;0,(VLOOKUP($B119,сотрудники!$B$4:$E$217,4,0)),0)</f>
        <v>0</v>
      </c>
      <c r="F119" s="72">
        <f t="shared" si="3"/>
        <v>0</v>
      </c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</row>
    <row r="120" spans="1:40" x14ac:dyDescent="0.25">
      <c r="A120" s="71">
        <v>687</v>
      </c>
      <c r="B120" s="78">
        <f>сотрудники!B204</f>
        <v>0</v>
      </c>
      <c r="C120" s="71">
        <f>IF(B120&lt;&gt;0,(VLOOKUP($B120,сотрудники!$B$4:$D$217,2,0)),0)</f>
        <v>0</v>
      </c>
      <c r="D120" s="71">
        <f>IF(C120&lt;&gt;0,(VLOOKUP($B120,сотрудники!$B$4:$D$217,3,0)),0)</f>
        <v>0</v>
      </c>
      <c r="E120" s="71">
        <f>IF(D120&lt;&gt;0,(VLOOKUP($B120,сотрудники!$B$4:$E$217,4,0)),0)</f>
        <v>0</v>
      </c>
      <c r="F120" s="72">
        <f t="shared" si="3"/>
        <v>0</v>
      </c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</row>
    <row r="121" spans="1:40" x14ac:dyDescent="0.25">
      <c r="A121" s="71">
        <v>688</v>
      </c>
      <c r="B121" s="78">
        <f>сотрудники!B205</f>
        <v>0</v>
      </c>
      <c r="C121" s="71">
        <f>IF(B121&lt;&gt;0,(VLOOKUP($B121,сотрудники!$B$4:$D$217,2,0)),0)</f>
        <v>0</v>
      </c>
      <c r="D121" s="71">
        <f>IF(C121&lt;&gt;0,(VLOOKUP($B121,сотрудники!$B$4:$D$217,3,0)),0)</f>
        <v>0</v>
      </c>
      <c r="E121" s="71">
        <f>IF(D121&lt;&gt;0,(VLOOKUP($B121,сотрудники!$B$4:$E$217,4,0)),0)</f>
        <v>0</v>
      </c>
      <c r="F121" s="72">
        <f t="shared" si="3"/>
        <v>0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</row>
    <row r="122" spans="1:40" x14ac:dyDescent="0.25">
      <c r="A122" s="71">
        <v>689</v>
      </c>
      <c r="B122" s="78">
        <f>сотрудники!B206</f>
        <v>0</v>
      </c>
      <c r="C122" s="71">
        <f>IF(B122&lt;&gt;0,(VLOOKUP($B122,сотрудники!$B$4:$D$217,2,0)),0)</f>
        <v>0</v>
      </c>
      <c r="D122" s="71">
        <f>IF(C122&lt;&gt;0,(VLOOKUP($B122,сотрудники!$B$4:$D$217,3,0)),0)</f>
        <v>0</v>
      </c>
      <c r="E122" s="71">
        <f>IF(D122&lt;&gt;0,(VLOOKUP($B122,сотрудники!$B$4:$E$217,4,0)),0)</f>
        <v>0</v>
      </c>
      <c r="F122" s="72">
        <f t="shared" si="3"/>
        <v>0</v>
      </c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</row>
    <row r="123" spans="1:40" x14ac:dyDescent="0.25">
      <c r="A123" s="71">
        <v>690</v>
      </c>
      <c r="B123" s="78">
        <f>сотрудники!B207</f>
        <v>0</v>
      </c>
      <c r="C123" s="71">
        <f>IF(B123&lt;&gt;0,(VLOOKUP($B123,сотрудники!$B$4:$D$217,2,0)),0)</f>
        <v>0</v>
      </c>
      <c r="D123" s="71">
        <f>IF(C123&lt;&gt;0,(VLOOKUP($B123,сотрудники!$B$4:$D$217,3,0)),0)</f>
        <v>0</v>
      </c>
      <c r="E123" s="71">
        <f>IF(D123&lt;&gt;0,(VLOOKUP($B123,сотрудники!$B$4:$E$217,4,0)),0)</f>
        <v>0</v>
      </c>
      <c r="F123" s="72">
        <f t="shared" si="3"/>
        <v>0</v>
      </c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</row>
    <row r="124" spans="1:40" x14ac:dyDescent="0.25">
      <c r="A124" s="71">
        <v>691</v>
      </c>
      <c r="B124" s="78">
        <f>сотрудники!B208</f>
        <v>0</v>
      </c>
      <c r="C124" s="71">
        <f>IF(B124&lt;&gt;0,(VLOOKUP($B124,сотрудники!$B$4:$D$217,2,0)),0)</f>
        <v>0</v>
      </c>
      <c r="D124" s="71">
        <f>IF(C124&lt;&gt;0,(VLOOKUP($B124,сотрудники!$B$4:$D$217,3,0)),0)</f>
        <v>0</v>
      </c>
      <c r="E124" s="71">
        <f>IF(D124&lt;&gt;0,(VLOOKUP($B124,сотрудники!$B$4:$E$217,4,0)),0)</f>
        <v>0</v>
      </c>
      <c r="F124" s="72">
        <f t="shared" si="3"/>
        <v>0</v>
      </c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</row>
    <row r="125" spans="1:40" x14ac:dyDescent="0.25">
      <c r="A125" s="71">
        <v>692</v>
      </c>
      <c r="B125" s="78">
        <f>сотрудники!B209</f>
        <v>0</v>
      </c>
      <c r="C125" s="71">
        <f>IF(B125&lt;&gt;0,(VLOOKUP($B125,сотрудники!$B$4:$D$217,2,0)),0)</f>
        <v>0</v>
      </c>
      <c r="D125" s="71">
        <f>IF(C125&lt;&gt;0,(VLOOKUP($B125,сотрудники!$B$4:$D$217,3,0)),0)</f>
        <v>0</v>
      </c>
      <c r="E125" s="71">
        <f>IF(D125&lt;&gt;0,(VLOOKUP($B125,сотрудники!$B$4:$E$217,4,0)),0)</f>
        <v>0</v>
      </c>
      <c r="F125" s="72">
        <f t="shared" si="3"/>
        <v>0</v>
      </c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</row>
    <row r="126" spans="1:40" x14ac:dyDescent="0.25">
      <c r="A126" s="71">
        <v>693</v>
      </c>
      <c r="B126" s="78">
        <f>сотрудники!B210</f>
        <v>0</v>
      </c>
      <c r="C126" s="71">
        <f>IF(B126&lt;&gt;0,(VLOOKUP($B126,сотрудники!$B$4:$D$217,2,0)),0)</f>
        <v>0</v>
      </c>
      <c r="D126" s="71">
        <f>IF(C126&lt;&gt;0,(VLOOKUP($B126,сотрудники!$B$4:$D$217,3,0)),0)</f>
        <v>0</v>
      </c>
      <c r="E126" s="71">
        <f>IF(D126&lt;&gt;0,(VLOOKUP($B126,сотрудники!$B$4:$E$217,4,0)),0)</f>
        <v>0</v>
      </c>
      <c r="F126" s="72">
        <f t="shared" si="3"/>
        <v>0</v>
      </c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</row>
    <row r="127" spans="1:40" x14ac:dyDescent="0.25">
      <c r="A127" s="71">
        <v>694</v>
      </c>
      <c r="B127" s="78">
        <f>сотрудники!B211</f>
        <v>0</v>
      </c>
      <c r="C127" s="71">
        <f>IF(B127&lt;&gt;0,(VLOOKUP($B127,сотрудники!$B$4:$D$217,2,0)),0)</f>
        <v>0</v>
      </c>
      <c r="D127" s="71">
        <f>IF(C127&lt;&gt;0,(VLOOKUP($B127,сотрудники!$B$4:$D$217,3,0)),0)</f>
        <v>0</v>
      </c>
      <c r="E127" s="71">
        <f>IF(D127&lt;&gt;0,(VLOOKUP($B127,сотрудники!$B$4:$E$217,4,0)),0)</f>
        <v>0</v>
      </c>
      <c r="F127" s="72">
        <f t="shared" si="3"/>
        <v>0</v>
      </c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</row>
    <row r="128" spans="1:40" x14ac:dyDescent="0.25">
      <c r="A128" s="71">
        <v>695</v>
      </c>
      <c r="B128" s="78">
        <f>сотрудники!B212</f>
        <v>0</v>
      </c>
      <c r="C128" s="71">
        <f>IF(B128&lt;&gt;0,(VLOOKUP($B128,сотрудники!$B$4:$D$217,2,0)),0)</f>
        <v>0</v>
      </c>
      <c r="D128" s="71">
        <f>IF(C128&lt;&gt;0,(VLOOKUP($B128,сотрудники!$B$4:$D$217,3,0)),0)</f>
        <v>0</v>
      </c>
      <c r="E128" s="71">
        <f>IF(D128&lt;&gt;0,(VLOOKUP($B128,сотрудники!$B$4:$E$217,4,0)),0)</f>
        <v>0</v>
      </c>
      <c r="F128" s="72">
        <f t="shared" si="3"/>
        <v>0</v>
      </c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</row>
    <row r="129" spans="1:40" x14ac:dyDescent="0.25">
      <c r="A129" s="71">
        <v>696</v>
      </c>
      <c r="B129" s="78">
        <f>сотрудники!B213</f>
        <v>0</v>
      </c>
      <c r="C129" s="71">
        <f>IF(B129&lt;&gt;0,(VLOOKUP($B129,сотрудники!$B$4:$D$217,2,0)),0)</f>
        <v>0</v>
      </c>
      <c r="D129" s="71">
        <f>IF(C129&lt;&gt;0,(VLOOKUP($B129,сотрудники!$B$4:$D$217,3,0)),0)</f>
        <v>0</v>
      </c>
      <c r="E129" s="71">
        <f>IF(D129&lt;&gt;0,(VLOOKUP($B129,сотрудники!$B$4:$E$217,4,0)),0)</f>
        <v>0</v>
      </c>
      <c r="F129" s="72">
        <f t="shared" si="3"/>
        <v>0</v>
      </c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</row>
    <row r="130" spans="1:40" x14ac:dyDescent="0.25">
      <c r="A130" s="71">
        <v>697</v>
      </c>
      <c r="B130" s="78">
        <f>сотрудники!B214</f>
        <v>0</v>
      </c>
      <c r="C130" s="71">
        <f>IF(B130&lt;&gt;0,(VLOOKUP($B130,сотрудники!$B$4:$D$217,2,0)),0)</f>
        <v>0</v>
      </c>
      <c r="D130" s="71">
        <f>IF(C130&lt;&gt;0,(VLOOKUP($B130,сотрудники!$B$4:$D$217,3,0)),0)</f>
        <v>0</v>
      </c>
      <c r="E130" s="71">
        <f>IF(D130&lt;&gt;0,(VLOOKUP($B130,сотрудники!$B$4:$E$217,4,0)),0)</f>
        <v>0</v>
      </c>
      <c r="F130" s="72">
        <f t="shared" si="3"/>
        <v>0</v>
      </c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</row>
    <row r="131" spans="1:40" x14ac:dyDescent="0.25">
      <c r="A131" s="71">
        <v>698</v>
      </c>
      <c r="B131" s="78">
        <f>сотрудники!B215</f>
        <v>0</v>
      </c>
      <c r="C131" s="71">
        <f>IF(B131&lt;&gt;0,(VLOOKUP($B131,сотрудники!$B$4:$D$217,2,0)),0)</f>
        <v>0</v>
      </c>
      <c r="D131" s="71">
        <f>IF(C131&lt;&gt;0,(VLOOKUP($B131,сотрудники!$B$4:$D$217,3,0)),0)</f>
        <v>0</v>
      </c>
      <c r="E131" s="71">
        <f>IF(D131&lt;&gt;0,(VLOOKUP($B131,сотрудники!$B$4:$E$217,4,0)),0)</f>
        <v>0</v>
      </c>
      <c r="F131" s="72">
        <f t="shared" si="3"/>
        <v>0</v>
      </c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</row>
    <row r="132" spans="1:40" x14ac:dyDescent="0.25">
      <c r="A132" s="71">
        <v>699</v>
      </c>
      <c r="B132" s="78">
        <f>сотрудники!B216</f>
        <v>0</v>
      </c>
      <c r="C132" s="71">
        <f>IF(B132&lt;&gt;0,(VLOOKUP($B132,сотрудники!$B$4:$D$217,2,0)),0)</f>
        <v>0</v>
      </c>
      <c r="D132" s="71">
        <f>IF(C132&lt;&gt;0,(VLOOKUP($B132,сотрудники!$B$4:$D$217,3,0)),0)</f>
        <v>0</v>
      </c>
      <c r="E132" s="71">
        <f>IF(D132&lt;&gt;0,(VLOOKUP($B132,сотрудники!$B$4:$E$217,4,0)),0)</f>
        <v>0</v>
      </c>
      <c r="F132" s="72">
        <f t="shared" si="3"/>
        <v>0</v>
      </c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</row>
    <row r="133" spans="1:40" x14ac:dyDescent="0.25">
      <c r="A133" s="71">
        <v>700</v>
      </c>
      <c r="B133" s="78">
        <f>сотрудники!B217</f>
        <v>0</v>
      </c>
      <c r="C133" s="71">
        <f>IF(B133&lt;&gt;0,(VLOOKUP($B133,сотрудники!$B$4:$D$217,2,0)),0)</f>
        <v>0</v>
      </c>
      <c r="D133" s="71">
        <f>IF(C133&lt;&gt;0,(VLOOKUP($B133,сотрудники!$B$4:$D$217,3,0)),0)</f>
        <v>0</v>
      </c>
      <c r="E133" s="71">
        <f>IF(D133&lt;&gt;0,(VLOOKUP($B133,сотрудники!$B$4:$E$217,4,0)),0)</f>
        <v>0</v>
      </c>
      <c r="F133" s="72">
        <f t="shared" si="3"/>
        <v>0</v>
      </c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</row>
  </sheetData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месяц!$A$3:$A$14</xm:f>
          </x14:formula1>
          <xm:sqref>F1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сотрудники!$B$4:$B$217</xm:f>
          </x14:formula1>
          <xm:sqref>B6:B133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4"/>
  <sheetViews>
    <sheetView workbookViewId="0">
      <selection activeCell="A14" sqref="A14"/>
    </sheetView>
  </sheetViews>
  <sheetFormatPr defaultRowHeight="15" x14ac:dyDescent="0.25"/>
  <cols>
    <col min="1" max="1" width="9.85546875" customWidth="1"/>
  </cols>
  <sheetData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120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0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176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6</v>
      </c>
      <c r="S6" s="73">
        <v>6</v>
      </c>
      <c r="T6" s="73">
        <v>6</v>
      </c>
      <c r="U6" s="73">
        <v>6</v>
      </c>
      <c r="V6" s="73">
        <v>6</v>
      </c>
      <c r="W6" s="73"/>
      <c r="X6" s="73">
        <v>42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0.99999999999999989</v>
      </c>
      <c r="G7" s="72" t="s">
        <v>224</v>
      </c>
      <c r="H7" s="88">
        <f t="shared" ref="H7:AT7" si="1">SUM(H6)/SUM($H$6:$AT$6)</f>
        <v>5.6818181818181816E-2</v>
      </c>
      <c r="I7" s="88">
        <f t="shared" si="1"/>
        <v>5.6818181818181816E-2</v>
      </c>
      <c r="J7" s="88">
        <f t="shared" si="1"/>
        <v>5.6818181818181816E-2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5.6818181818181816E-2</v>
      </c>
      <c r="R7" s="95">
        <f t="shared" si="1"/>
        <v>3.4090909090909088E-2</v>
      </c>
      <c r="S7" s="95">
        <f t="shared" si="1"/>
        <v>3.4090909090909088E-2</v>
      </c>
      <c r="T7" s="95">
        <f t="shared" si="1"/>
        <v>3.4090909090909088E-2</v>
      </c>
      <c r="U7" s="95">
        <f t="shared" si="1"/>
        <v>3.4090909090909088E-2</v>
      </c>
      <c r="V7" s="95">
        <f t="shared" si="1"/>
        <v>3.4090909090909088E-2</v>
      </c>
      <c r="W7" s="95">
        <f t="shared" si="1"/>
        <v>0</v>
      </c>
      <c r="X7" s="95">
        <f t="shared" si="1"/>
        <v>0.23863636363636365</v>
      </c>
      <c r="Y7" s="95">
        <f t="shared" si="1"/>
        <v>1.1363636363636364E-2</v>
      </c>
      <c r="Z7" s="95">
        <f t="shared" si="1"/>
        <v>5.6818181818181816E-2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0.13636363636363635</v>
      </c>
      <c r="AJ7" s="95">
        <f t="shared" si="1"/>
        <v>6.8181818181818177E-2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9.0909090909090912E-2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176</v>
      </c>
      <c r="G8" s="72"/>
      <c r="H8" s="73">
        <v>12</v>
      </c>
      <c r="I8" s="73">
        <v>12</v>
      </c>
      <c r="J8" s="73">
        <v>12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44</v>
      </c>
      <c r="AL8" s="73">
        <v>46</v>
      </c>
      <c r="AM8" s="73">
        <v>40</v>
      </c>
      <c r="AN8" s="73">
        <v>10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T9" si="2">SUM(H8)/SUM($H$8:$AT$8)</f>
        <v>6.8181818181818177E-2</v>
      </c>
      <c r="I9" s="95">
        <f t="shared" si="2"/>
        <v>6.8181818181818177E-2</v>
      </c>
      <c r="J9" s="95">
        <f t="shared" si="2"/>
        <v>6.8181818181818177E-2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0.25</v>
      </c>
      <c r="AL9" s="96">
        <f t="shared" si="2"/>
        <v>0.26136363636363635</v>
      </c>
      <c r="AM9" s="96">
        <f t="shared" si="2"/>
        <v>0.22727272727272727</v>
      </c>
      <c r="AN9" s="96">
        <f t="shared" si="2"/>
        <v>5.6818181818181816E-2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128</v>
      </c>
      <c r="G10" s="72"/>
      <c r="H10" s="73">
        <v>20</v>
      </c>
      <c r="I10" s="73">
        <v>18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6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50</v>
      </c>
      <c r="AH10" s="73">
        <v>16</v>
      </c>
      <c r="AI10" s="73"/>
      <c r="AJ10" s="73">
        <v>4</v>
      </c>
      <c r="AK10" s="73"/>
      <c r="AL10" s="73"/>
      <c r="AM10" s="73"/>
      <c r="AN10" s="73"/>
      <c r="AO10" s="73"/>
      <c r="AP10" s="73"/>
      <c r="AQ10" s="73">
        <v>4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0.15625</v>
      </c>
      <c r="I11" s="98">
        <f t="shared" si="3"/>
        <v>0.140625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7.8125E-2</v>
      </c>
      <c r="R11" s="98">
        <f t="shared" si="3"/>
        <v>0</v>
      </c>
      <c r="S11" s="98">
        <f t="shared" si="3"/>
        <v>0</v>
      </c>
      <c r="T11" s="98">
        <f t="shared" si="3"/>
        <v>4.6875E-2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0.390625</v>
      </c>
      <c r="AH11" s="98">
        <f t="shared" si="3"/>
        <v>0.125</v>
      </c>
      <c r="AI11" s="98">
        <f t="shared" si="3"/>
        <v>0</v>
      </c>
      <c r="AJ11" s="98">
        <f t="shared" si="3"/>
        <v>3.125E-2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3.125E-2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176</v>
      </c>
      <c r="G12" s="72"/>
      <c r="H12" s="73">
        <v>56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14</v>
      </c>
      <c r="R12" s="73"/>
      <c r="S12" s="73"/>
      <c r="T12" s="73"/>
      <c r="U12" s="73">
        <v>12</v>
      </c>
      <c r="V12" s="73">
        <v>12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0.31818181818181818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0.11363636363636363</v>
      </c>
      <c r="O13" s="88">
        <f t="shared" si="4"/>
        <v>0</v>
      </c>
      <c r="P13" s="89">
        <f t="shared" si="4"/>
        <v>0</v>
      </c>
      <c r="Q13" s="88">
        <f t="shared" si="4"/>
        <v>7.9545454545454544E-2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6.8181818181818177E-2</v>
      </c>
      <c r="V13" s="88">
        <f t="shared" si="4"/>
        <v>6.8181818181818177E-2</v>
      </c>
      <c r="W13" s="88">
        <f t="shared" si="4"/>
        <v>0</v>
      </c>
      <c r="X13" s="88">
        <f t="shared" si="4"/>
        <v>5.6818181818181816E-2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6.8181818181818177E-2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0.22727272727272727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3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33" sqref="P33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customWidth="1"/>
    <col min="12" max="14" width="8.85546875" style="2" customWidth="1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6" width="8.85546875" style="2" customWidth="1"/>
    <col min="27" max="27" width="12.140625" style="2" customWidth="1"/>
    <col min="28" max="28" width="12.7109375" style="2" customWidth="1"/>
    <col min="29" max="29" width="9.7109375" style="2" customWidth="1"/>
    <col min="30" max="30" width="10.28515625" style="2" customWidth="1"/>
    <col min="31" max="32" width="8.85546875" style="2" customWidth="1"/>
    <col min="33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1" t="s">
        <v>180</v>
      </c>
      <c r="B1" s="121"/>
      <c r="C1" s="121"/>
      <c r="D1" s="121"/>
      <c r="E1" s="8" t="s">
        <v>107</v>
      </c>
      <c r="F1" s="9" t="s">
        <v>121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137" t="s">
        <v>15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0" s="3" customFormat="1" ht="51" customHeight="1" x14ac:dyDescent="0.25">
      <c r="A5" s="134"/>
      <c r="B5" s="134"/>
      <c r="C5" s="134"/>
      <c r="D5" s="134"/>
      <c r="E5" s="134"/>
      <c r="F5" s="136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16" si="0">SUM(G6:AZ6)</f>
        <v>143</v>
      </c>
      <c r="G6" s="73"/>
      <c r="H6" s="73"/>
      <c r="I6" s="73"/>
      <c r="J6" s="73"/>
      <c r="K6" s="73"/>
      <c r="L6" s="73"/>
      <c r="M6" s="73"/>
      <c r="N6" s="81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>
        <v>143</v>
      </c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80" t="s">
        <v>194</v>
      </c>
      <c r="C7" s="71" t="e">
        <f>IF(B7&lt;&gt;0,(VLOOKUP($B7,сотрудники!$B$4:$D$217,2,0)),0)</f>
        <v>#N/A</v>
      </c>
      <c r="D7" s="71" t="e">
        <f>IF(C7&lt;&gt;0,(VLOOKUP($B7,сотрудники!$B$4:$D$217,3,0)),0)</f>
        <v>#N/A</v>
      </c>
      <c r="E7" s="71" t="e">
        <f>IF(D7&lt;&gt;0,(VLOOKUP($B7,сотрудники!$B$4:$E$217,4,0)),0)</f>
        <v>#N/A</v>
      </c>
      <c r="F7" s="72">
        <f t="shared" si="0"/>
        <v>121</v>
      </c>
      <c r="G7" s="73"/>
      <c r="H7" s="73"/>
      <c r="I7" s="73"/>
      <c r="J7" s="73"/>
      <c r="K7" s="73"/>
      <c r="L7" s="73"/>
      <c r="M7" s="73"/>
      <c r="N7" s="81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>
        <v>121</v>
      </c>
      <c r="AK7" s="73"/>
      <c r="AL7" s="73"/>
      <c r="AM7" s="73"/>
      <c r="AN7" s="73"/>
    </row>
    <row r="8" spans="1:40" x14ac:dyDescent="0.25">
      <c r="A8" s="71">
        <v>3</v>
      </c>
      <c r="B8" s="80" t="s">
        <v>195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88</v>
      </c>
      <c r="G8" s="73"/>
      <c r="H8" s="73"/>
      <c r="I8" s="73"/>
      <c r="J8" s="73"/>
      <c r="K8" s="73"/>
      <c r="L8" s="73"/>
      <c r="M8" s="73"/>
      <c r="N8" s="81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>
        <v>88</v>
      </c>
      <c r="AK8" s="73"/>
      <c r="AL8" s="73"/>
      <c r="AM8" s="73"/>
      <c r="AN8" s="73"/>
    </row>
    <row r="9" spans="1:40" x14ac:dyDescent="0.25">
      <c r="A9" s="71">
        <v>4</v>
      </c>
      <c r="B9" s="80" t="s">
        <v>196</v>
      </c>
      <c r="C9" s="71" t="e">
        <f>IF(B9&lt;&gt;0,(VLOOKUP($B9,сотрудники!$B$4:$D$217,2,0)),0)</f>
        <v>#N/A</v>
      </c>
      <c r="D9" s="71" t="e">
        <f>IF(C9&lt;&gt;0,(VLOOKUP($B9,сотрудники!$B$4:$D$217,3,0)),0)</f>
        <v>#N/A</v>
      </c>
      <c r="E9" s="71" t="e">
        <f>IF(D9&lt;&gt;0,(VLOOKUP($B9,сотрудники!$B$4:$E$217,4,0)),0)</f>
        <v>#N/A</v>
      </c>
      <c r="F9" s="72">
        <f t="shared" si="0"/>
        <v>132</v>
      </c>
      <c r="G9" s="73"/>
      <c r="H9" s="73"/>
      <c r="I9" s="73"/>
      <c r="J9" s="73"/>
      <c r="K9" s="73"/>
      <c r="L9" s="73"/>
      <c r="M9" s="73"/>
      <c r="N9" s="81"/>
      <c r="O9" s="73">
        <v>132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N9" s="73"/>
    </row>
    <row r="10" spans="1:40" x14ac:dyDescent="0.25">
      <c r="A10" s="71">
        <v>5</v>
      </c>
      <c r="B10" s="80" t="s">
        <v>197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64</v>
      </c>
      <c r="G10" s="73"/>
      <c r="H10" s="73"/>
      <c r="I10" s="73"/>
      <c r="J10" s="73"/>
      <c r="K10" s="73"/>
      <c r="L10" s="73"/>
      <c r="M10" s="73"/>
      <c r="N10" s="8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>
        <v>64</v>
      </c>
      <c r="AK10" s="73"/>
      <c r="AL10" s="73"/>
      <c r="AM10" s="73"/>
      <c r="AN10" s="73"/>
    </row>
    <row r="11" spans="1:40" s="2" customFormat="1" x14ac:dyDescent="0.25">
      <c r="A11" s="71">
        <v>6</v>
      </c>
      <c r="B11" s="80" t="s">
        <v>198</v>
      </c>
      <c r="C11" s="71" t="e">
        <f>IF(B11&lt;&gt;0,(VLOOKUP($B11,сотрудники!$B$4:$D$217,2,0)),0)</f>
        <v>#N/A</v>
      </c>
      <c r="D11" s="71" t="e">
        <f>IF(C11&lt;&gt;0,(VLOOKUP($B11,сотрудники!$B$4:$D$217,3,0)),0)</f>
        <v>#N/A</v>
      </c>
      <c r="E11" s="71" t="e">
        <f>IF(D11&lt;&gt;0,(VLOOKUP($B11,сотрудники!$B$4:$E$217,4,0)),0)</f>
        <v>#N/A</v>
      </c>
      <c r="F11" s="72">
        <f t="shared" si="0"/>
        <v>120</v>
      </c>
      <c r="G11" s="73"/>
      <c r="H11" s="73"/>
      <c r="I11" s="73"/>
      <c r="J11" s="73"/>
      <c r="K11" s="73"/>
      <c r="L11" s="73"/>
      <c r="M11" s="73"/>
      <c r="N11" s="8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>
        <v>40</v>
      </c>
      <c r="AL11" s="73">
        <v>80</v>
      </c>
      <c r="AM11" s="73"/>
      <c r="AN11" s="73"/>
    </row>
    <row r="12" spans="1:40" s="2" customFormat="1" x14ac:dyDescent="0.25">
      <c r="A12" s="71">
        <v>7</v>
      </c>
      <c r="B12" s="80" t="s">
        <v>200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99</v>
      </c>
      <c r="G12" s="73"/>
      <c r="H12" s="73"/>
      <c r="I12" s="73"/>
      <c r="J12" s="73"/>
      <c r="K12" s="73"/>
      <c r="L12" s="73"/>
      <c r="M12" s="73"/>
      <c r="N12" s="8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>
        <v>99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s="2" customFormat="1" x14ac:dyDescent="0.25">
      <c r="A13" s="71">
        <v>8</v>
      </c>
      <c r="B13" s="80" t="s">
        <v>201</v>
      </c>
      <c r="C13" s="71" t="e">
        <f>IF(B13&lt;&gt;0,(VLOOKUP($B13,сотрудники!$B$4:$D$217,2,0)),0)</f>
        <v>#N/A</v>
      </c>
      <c r="D13" s="71" t="e">
        <f>IF(C13&lt;&gt;0,(VLOOKUP($B13,сотрудники!$B$4:$D$217,3,0)),0)</f>
        <v>#N/A</v>
      </c>
      <c r="E13" s="71" t="e">
        <f>IF(D13&lt;&gt;0,(VLOOKUP($B13,сотрудники!$B$4:$E$217,4,0)),0)</f>
        <v>#N/A</v>
      </c>
      <c r="F13" s="72">
        <f t="shared" si="0"/>
        <v>132</v>
      </c>
      <c r="G13" s="73"/>
      <c r="H13" s="73"/>
      <c r="I13" s="73">
        <v>132</v>
      </c>
      <c r="J13" s="73"/>
      <c r="K13" s="73"/>
      <c r="L13" s="73"/>
      <c r="M13" s="73"/>
      <c r="N13" s="8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s="2" customFormat="1" x14ac:dyDescent="0.25">
      <c r="A14" s="71">
        <v>9</v>
      </c>
      <c r="B14" s="80" t="s">
        <v>202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48</v>
      </c>
      <c r="G14" s="73"/>
      <c r="H14" s="73">
        <v>24</v>
      </c>
      <c r="I14" s="73"/>
      <c r="J14" s="73">
        <v>24</v>
      </c>
      <c r="K14" s="73"/>
      <c r="L14" s="73"/>
      <c r="M14" s="73"/>
      <c r="N14" s="8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s="2" customFormat="1" x14ac:dyDescent="0.25">
      <c r="A15" s="71">
        <v>10</v>
      </c>
      <c r="B15" s="80" t="s">
        <v>203</v>
      </c>
      <c r="C15" s="71" t="e">
        <f>IF(B15&lt;&gt;0,(VLOOKUP($B15,сотрудники!$B$4:$D$217,2,0)),0)</f>
        <v>#N/A</v>
      </c>
      <c r="D15" s="71" t="e">
        <f>IF(C15&lt;&gt;0,(VLOOKUP($B15,сотрудники!$B$4:$D$217,3,0)),0)</f>
        <v>#N/A</v>
      </c>
      <c r="E15" s="71" t="e">
        <f>IF(D15&lt;&gt;0,(VLOOKUP($B15,сотрудники!$B$4:$E$217,4,0)),0)</f>
        <v>#N/A</v>
      </c>
      <c r="F15" s="72">
        <f t="shared" si="0"/>
        <v>112</v>
      </c>
      <c r="G15" s="73"/>
      <c r="H15" s="73"/>
      <c r="I15" s="73"/>
      <c r="J15" s="73"/>
      <c r="K15" s="73"/>
      <c r="L15" s="73"/>
      <c r="M15" s="73"/>
      <c r="N15" s="8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>
        <v>38</v>
      </c>
      <c r="AL15" s="73">
        <v>74</v>
      </c>
      <c r="AM15" s="73"/>
      <c r="AN15" s="73"/>
    </row>
    <row r="16" spans="1:40" s="2" customFormat="1" x14ac:dyDescent="0.25">
      <c r="A16" s="71">
        <v>11</v>
      </c>
      <c r="B16" s="80" t="s">
        <v>204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132</v>
      </c>
      <c r="G16" s="73"/>
      <c r="H16" s="73"/>
      <c r="I16" s="73"/>
      <c r="J16" s="73"/>
      <c r="K16" s="73"/>
      <c r="L16" s="73"/>
      <c r="M16" s="73"/>
      <c r="N16" s="81"/>
      <c r="O16" s="73"/>
      <c r="P16" s="73"/>
      <c r="Q16" s="73"/>
      <c r="R16" s="73"/>
      <c r="S16" s="73"/>
      <c r="T16" s="73"/>
      <c r="U16" s="73">
        <v>33</v>
      </c>
      <c r="V16" s="73">
        <v>33</v>
      </c>
      <c r="W16" s="73">
        <v>33</v>
      </c>
      <c r="X16" s="73">
        <v>33</v>
      </c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s="2" customFormat="1" x14ac:dyDescent="0.25">
      <c r="A17" s="71">
        <v>12</v>
      </c>
      <c r="B17" s="80" t="s">
        <v>205</v>
      </c>
      <c r="C17" s="71" t="e">
        <f>IF(B17&lt;&gt;0,(VLOOKUP($B17,сотрудники!$B$4:$D$217,2,0)),0)</f>
        <v>#N/A</v>
      </c>
      <c r="D17" s="71" t="e">
        <f>IF(C17&lt;&gt;0,(VLOOKUP($B17,сотрудники!$B$4:$D$217,3,0)),0)</f>
        <v>#N/A</v>
      </c>
      <c r="E17" s="71" t="e">
        <f>IF(D17&lt;&gt;0,(VLOOKUP($B17,сотрудники!$B$4:$E$217,4,0)),0)</f>
        <v>#N/A</v>
      </c>
      <c r="F17" s="72">
        <f t="shared" ref="F17" si="1">SUM(G17:AZ17)</f>
        <v>88</v>
      </c>
      <c r="G17" s="73"/>
      <c r="H17" s="73"/>
      <c r="I17" s="73"/>
      <c r="J17" s="73"/>
      <c r="K17" s="73"/>
      <c r="L17" s="73"/>
      <c r="M17" s="73"/>
      <c r="N17" s="8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>
        <v>88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s="2" customFormat="1" x14ac:dyDescent="0.25">
      <c r="A18" s="71">
        <v>13</v>
      </c>
      <c r="B18" s="80" t="s">
        <v>206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ref="F18:F32" si="2">SUM(G18:AZ18)</f>
        <v>99</v>
      </c>
      <c r="G18" s="73"/>
      <c r="H18" s="73">
        <v>99</v>
      </c>
      <c r="I18" s="73"/>
      <c r="J18" s="73"/>
      <c r="K18" s="73"/>
      <c r="L18" s="73"/>
      <c r="M18" s="73"/>
      <c r="N18" s="8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s="2" customFormat="1" x14ac:dyDescent="0.25">
      <c r="A19" s="71">
        <v>14</v>
      </c>
      <c r="B19" s="80" t="s">
        <v>207</v>
      </c>
      <c r="C19" s="71" t="e">
        <f>IF(B19&lt;&gt;0,(VLOOKUP($B19,сотрудники!$B$4:$D$217,2,0)),0)</f>
        <v>#N/A</v>
      </c>
      <c r="D19" s="71" t="e">
        <f>IF(C19&lt;&gt;0,(VLOOKUP($B19,сотрудники!$B$4:$D$217,3,0)),0)</f>
        <v>#N/A</v>
      </c>
      <c r="E19" s="71" t="e">
        <f>IF(D19&lt;&gt;0,(VLOOKUP($B19,сотрудники!$B$4:$E$217,4,0)),0)</f>
        <v>#N/A</v>
      </c>
      <c r="F19" s="72">
        <f t="shared" si="2"/>
        <v>88</v>
      </c>
      <c r="G19" s="73"/>
      <c r="H19" s="73"/>
      <c r="I19" s="73"/>
      <c r="J19" s="73"/>
      <c r="K19" s="73"/>
      <c r="L19" s="73"/>
      <c r="M19" s="73"/>
      <c r="N19" s="81"/>
      <c r="O19" s="73"/>
      <c r="P19" s="73"/>
      <c r="Q19" s="73"/>
      <c r="R19" s="73"/>
      <c r="S19" s="73"/>
      <c r="T19" s="73"/>
      <c r="U19" s="73">
        <v>22</v>
      </c>
      <c r="V19" s="73">
        <v>22</v>
      </c>
      <c r="W19" s="73">
        <v>22</v>
      </c>
      <c r="X19" s="73">
        <v>22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s="2" customFormat="1" x14ac:dyDescent="0.25">
      <c r="A20" s="71">
        <v>15</v>
      </c>
      <c r="B20" s="80" t="s">
        <v>208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2"/>
        <v>132</v>
      </c>
      <c r="G20" s="73"/>
      <c r="H20" s="73"/>
      <c r="I20" s="73"/>
      <c r="J20" s="73"/>
      <c r="K20" s="73"/>
      <c r="L20" s="73"/>
      <c r="M20" s="73"/>
      <c r="N20" s="81"/>
      <c r="O20" s="73"/>
      <c r="P20" s="73"/>
      <c r="Q20" s="73"/>
      <c r="R20" s="73">
        <v>44</v>
      </c>
      <c r="S20" s="73">
        <v>44</v>
      </c>
      <c r="T20" s="73">
        <v>44</v>
      </c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s="2" customFormat="1" x14ac:dyDescent="0.25">
      <c r="A21" s="71">
        <v>16</v>
      </c>
      <c r="B21" s="80" t="s">
        <v>209</v>
      </c>
      <c r="C21" s="71" t="e">
        <f>IF(B21&lt;&gt;0,(VLOOKUP($B21,сотрудники!$B$4:$D$217,2,0)),0)</f>
        <v>#N/A</v>
      </c>
      <c r="D21" s="71" t="e">
        <f>IF(C21&lt;&gt;0,(VLOOKUP($B21,сотрудники!$B$4:$D$217,3,0)),0)</f>
        <v>#N/A</v>
      </c>
      <c r="E21" s="71" t="e">
        <f>IF(D21&lt;&gt;0,(VLOOKUP($B21,сотрудники!$B$4:$E$217,4,0)),0)</f>
        <v>#N/A</v>
      </c>
      <c r="F21" s="72">
        <f t="shared" si="2"/>
        <v>88</v>
      </c>
      <c r="G21" s="73"/>
      <c r="H21" s="73"/>
      <c r="I21" s="73"/>
      <c r="J21" s="73"/>
      <c r="K21" s="73"/>
      <c r="L21" s="73"/>
      <c r="M21" s="73"/>
      <c r="N21" s="8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>
        <v>88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s="2" customFormat="1" x14ac:dyDescent="0.25">
      <c r="A22" s="71">
        <v>17</v>
      </c>
      <c r="B22" s="80" t="s">
        <v>210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2"/>
        <v>121</v>
      </c>
      <c r="G22" s="73"/>
      <c r="H22" s="73"/>
      <c r="I22" s="73"/>
      <c r="J22" s="73"/>
      <c r="K22" s="73"/>
      <c r="L22" s="73"/>
      <c r="M22" s="73"/>
      <c r="N22" s="8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>
        <v>121</v>
      </c>
      <c r="AI22" s="73"/>
      <c r="AJ22" s="73"/>
      <c r="AK22" s="73"/>
      <c r="AL22" s="73"/>
      <c r="AM22" s="73"/>
      <c r="AN22" s="73"/>
    </row>
    <row r="23" spans="1:40" s="2" customFormat="1" x14ac:dyDescent="0.25">
      <c r="A23" s="71">
        <v>18</v>
      </c>
      <c r="B23" s="80" t="s">
        <v>211</v>
      </c>
      <c r="C23" s="71" t="e">
        <f>IF(B23&lt;&gt;0,(VLOOKUP($B23,сотрудники!$B$4:$D$217,2,0)),0)</f>
        <v>#N/A</v>
      </c>
      <c r="D23" s="71" t="e">
        <f>IF(C23&lt;&gt;0,(VLOOKUP($B23,сотрудники!$B$4:$D$217,3,0)),0)</f>
        <v>#N/A</v>
      </c>
      <c r="E23" s="71" t="e">
        <f>IF(D23&lt;&gt;0,(VLOOKUP($B23,сотрудники!$B$4:$E$217,4,0)),0)</f>
        <v>#N/A</v>
      </c>
      <c r="F23" s="72">
        <f t="shared" si="2"/>
        <v>143</v>
      </c>
      <c r="G23" s="73"/>
      <c r="H23" s="73">
        <v>143</v>
      </c>
      <c r="I23" s="73"/>
      <c r="J23" s="73"/>
      <c r="K23" s="73"/>
      <c r="L23" s="73"/>
      <c r="M23" s="73"/>
      <c r="N23" s="8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s="2" customFormat="1" x14ac:dyDescent="0.25">
      <c r="A24" s="71">
        <v>19</v>
      </c>
      <c r="B24" s="80" t="s">
        <v>199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2"/>
        <v>73</v>
      </c>
      <c r="G24" s="73"/>
      <c r="H24" s="73"/>
      <c r="I24" s="73"/>
      <c r="J24" s="73"/>
      <c r="K24" s="73"/>
      <c r="L24" s="73"/>
      <c r="M24" s="73"/>
      <c r="N24" s="81"/>
      <c r="O24" s="73"/>
      <c r="P24" s="73"/>
      <c r="Q24" s="73"/>
      <c r="R24" s="73">
        <v>25</v>
      </c>
      <c r="S24" s="73">
        <v>24</v>
      </c>
      <c r="T24" s="73">
        <v>24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s="2" customFormat="1" x14ac:dyDescent="0.25">
      <c r="A25" s="71">
        <v>20</v>
      </c>
      <c r="B25" s="80" t="s">
        <v>212</v>
      </c>
      <c r="C25" s="71" t="e">
        <f>IF(B25&lt;&gt;0,(VLOOKUP($B25,сотрудники!$B$4:$D$217,2,0)),0)</f>
        <v>#N/A</v>
      </c>
      <c r="D25" s="71" t="e">
        <f>IF(C25&lt;&gt;0,(VLOOKUP($B25,сотрудники!$B$4:$D$217,3,0)),0)</f>
        <v>#N/A</v>
      </c>
      <c r="E25" s="71" t="e">
        <f>IF(D25&lt;&gt;0,(VLOOKUP($B25,сотрудники!$B$4:$E$217,4,0)),0)</f>
        <v>#N/A</v>
      </c>
      <c r="F25" s="72">
        <f t="shared" si="2"/>
        <v>121</v>
      </c>
      <c r="G25" s="73">
        <v>121</v>
      </c>
      <c r="H25" s="73"/>
      <c r="I25" s="73"/>
      <c r="J25" s="73"/>
      <c r="K25" s="73"/>
      <c r="L25" s="73"/>
      <c r="M25" s="73"/>
      <c r="N25" s="8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s="2" customFormat="1" x14ac:dyDescent="0.25">
      <c r="A26" s="71">
        <v>21</v>
      </c>
      <c r="B26" s="80" t="s">
        <v>213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2"/>
        <v>141</v>
      </c>
      <c r="G26" s="73"/>
      <c r="H26" s="73"/>
      <c r="I26" s="73"/>
      <c r="J26" s="73"/>
      <c r="K26" s="73"/>
      <c r="L26" s="73"/>
      <c r="M26" s="73"/>
      <c r="N26" s="8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>
        <v>47</v>
      </c>
      <c r="AL26" s="73">
        <v>94</v>
      </c>
      <c r="AM26" s="73"/>
      <c r="AN26" s="73"/>
    </row>
    <row r="27" spans="1:40" s="2" customFormat="1" x14ac:dyDescent="0.25">
      <c r="A27" s="71">
        <v>22</v>
      </c>
      <c r="B27" s="80" t="s">
        <v>214</v>
      </c>
      <c r="C27" s="71" t="e">
        <f>IF(B27&lt;&gt;0,(VLOOKUP($B27,сотрудники!$B$4:$D$217,2,0)),0)</f>
        <v>#N/A</v>
      </c>
      <c r="D27" s="71" t="e">
        <f>IF(C27&lt;&gt;0,(VLOOKUP($B27,сотрудники!$B$4:$D$217,3,0)),0)</f>
        <v>#N/A</v>
      </c>
      <c r="E27" s="71" t="e">
        <f>IF(D27&lt;&gt;0,(VLOOKUP($B27,сотрудники!$B$4:$E$217,4,0)),0)</f>
        <v>#N/A</v>
      </c>
      <c r="F27" s="72">
        <f t="shared" si="2"/>
        <v>88</v>
      </c>
      <c r="G27" s="73"/>
      <c r="H27" s="73"/>
      <c r="I27" s="73">
        <v>44</v>
      </c>
      <c r="J27" s="73"/>
      <c r="K27" s="73"/>
      <c r="L27" s="73"/>
      <c r="M27" s="73"/>
      <c r="N27" s="81"/>
      <c r="O27" s="73">
        <v>44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s="2" customFormat="1" x14ac:dyDescent="0.25">
      <c r="A28" s="71">
        <v>23</v>
      </c>
      <c r="B28" s="80" t="s">
        <v>215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si="2"/>
        <v>121</v>
      </c>
      <c r="G28" s="73"/>
      <c r="H28" s="73"/>
      <c r="I28" s="73"/>
      <c r="J28" s="73"/>
      <c r="K28" s="73"/>
      <c r="L28" s="73"/>
      <c r="M28" s="73"/>
      <c r="N28" s="81"/>
      <c r="O28" s="73">
        <v>121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s="2" customFormat="1" x14ac:dyDescent="0.25">
      <c r="A29" s="71">
        <v>24</v>
      </c>
      <c r="B29" s="80" t="s">
        <v>216</v>
      </c>
      <c r="C29" s="71" t="e">
        <f>IF(B29&lt;&gt;0,(VLOOKUP($B29,сотрудники!$B$4:$D$217,2,0)),0)</f>
        <v>#N/A</v>
      </c>
      <c r="D29" s="71" t="e">
        <f>IF(C29&lt;&gt;0,(VLOOKUP($B29,сотрудники!$B$4:$D$217,3,0)),0)</f>
        <v>#N/A</v>
      </c>
      <c r="E29" s="71" t="e">
        <f>IF(D29&lt;&gt;0,(VLOOKUP($B29,сотрудники!$B$4:$E$217,4,0)),0)</f>
        <v>#N/A</v>
      </c>
      <c r="F29" s="72">
        <f t="shared" si="2"/>
        <v>112</v>
      </c>
      <c r="G29" s="73"/>
      <c r="H29" s="73"/>
      <c r="I29" s="73"/>
      <c r="J29" s="73"/>
      <c r="K29" s="73"/>
      <c r="L29" s="73"/>
      <c r="M29" s="73"/>
      <c r="N29" s="81"/>
      <c r="O29" s="73"/>
      <c r="P29" s="73"/>
      <c r="Q29" s="73"/>
      <c r="R29" s="73"/>
      <c r="S29" s="73"/>
      <c r="T29" s="73"/>
      <c r="U29" s="73">
        <v>28</v>
      </c>
      <c r="V29" s="73">
        <v>28</v>
      </c>
      <c r="W29" s="73">
        <v>28</v>
      </c>
      <c r="X29" s="73">
        <v>28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s="2" customFormat="1" x14ac:dyDescent="0.25">
      <c r="A30" s="71">
        <v>25</v>
      </c>
      <c r="B30" s="80" t="s">
        <v>217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si="2"/>
        <v>99</v>
      </c>
      <c r="G30" s="73"/>
      <c r="H30" s="73"/>
      <c r="I30" s="73">
        <v>99</v>
      </c>
      <c r="J30" s="73"/>
      <c r="K30" s="73"/>
      <c r="L30" s="73"/>
      <c r="M30" s="73"/>
      <c r="N30" s="8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s="2" customFormat="1" x14ac:dyDescent="0.25">
      <c r="A31" s="71">
        <v>26</v>
      </c>
      <c r="B31" s="80" t="s">
        <v>218</v>
      </c>
      <c r="C31" s="71" t="e">
        <f>IF(B31&lt;&gt;0,(VLOOKUP($B31,сотрудники!$B$4:$D$217,2,0)),0)</f>
        <v>#N/A</v>
      </c>
      <c r="D31" s="71" t="e">
        <f>IF(C31&lt;&gt;0,(VLOOKUP($B31,сотрудники!$B$4:$D$217,3,0)),0)</f>
        <v>#N/A</v>
      </c>
      <c r="E31" s="71" t="e">
        <f>IF(D31&lt;&gt;0,(VLOOKUP($B31,сотрудники!$B$4:$E$217,4,0)),0)</f>
        <v>#N/A</v>
      </c>
      <c r="F31" s="72">
        <f t="shared" si="2"/>
        <v>66</v>
      </c>
      <c r="G31" s="73"/>
      <c r="H31" s="73"/>
      <c r="I31" s="73"/>
      <c r="J31" s="73"/>
      <c r="K31" s="73"/>
      <c r="L31" s="73"/>
      <c r="M31" s="73"/>
      <c r="N31" s="8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>
        <v>66</v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s="2" customFormat="1" x14ac:dyDescent="0.25">
      <c r="A32" s="71">
        <v>27</v>
      </c>
      <c r="B32" s="80" t="s">
        <v>219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2"/>
        <v>66</v>
      </c>
      <c r="G32" s="73"/>
      <c r="H32" s="73"/>
      <c r="I32" s="73"/>
      <c r="J32" s="73"/>
      <c r="K32" s="73"/>
      <c r="L32" s="73"/>
      <c r="M32" s="73"/>
      <c r="N32" s="8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>
        <v>66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28</v>
      </c>
      <c r="B33" s="80" t="s">
        <v>222</v>
      </c>
      <c r="C33" s="71" t="e">
        <f>IF(B33&lt;&gt;0,(VLOOKUP($B33,сотрудники!$B$4:$D$217,2,0)),0)</f>
        <v>#N/A</v>
      </c>
      <c r="D33" s="71" t="e">
        <f>IF(C33&lt;&gt;0,(VLOOKUP($B33,сотрудники!$B$4:$D$217,3,0)),0)</f>
        <v>#N/A</v>
      </c>
      <c r="E33" s="71" t="e">
        <f>IF(D33&lt;&gt;0,(VLOOKUP($B33,сотрудники!$B$4:$E$217,4,0)),0)</f>
        <v>#N/A</v>
      </c>
      <c r="F33" s="72">
        <f t="shared" ref="F33" si="3">SUM(G33:AZ33)</f>
        <v>132</v>
      </c>
      <c r="G33" s="73">
        <v>132</v>
      </c>
      <c r="H33" s="73"/>
      <c r="I33" s="73"/>
      <c r="J33" s="73"/>
      <c r="K33" s="73"/>
      <c r="L33" s="73"/>
      <c r="M33" s="73"/>
      <c r="N33" s="8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</sheetData>
  <autoFilter ref="A4:AN32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D3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8" sqref="B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6" width="12.7109375" style="7" customWidth="1"/>
    <col min="7" max="8" width="11" style="2" customWidth="1"/>
    <col min="9" max="9" width="11.7109375" style="2" customWidth="1"/>
    <col min="10" max="10" width="11.85546875" style="2" customWidth="1"/>
    <col min="11" max="11" width="12.140625" style="2" hidden="1" customWidth="1"/>
    <col min="12" max="14" width="8.85546875" style="2" hidden="1" customWidth="1"/>
    <col min="15" max="15" width="12.85546875" style="2" customWidth="1"/>
    <col min="16" max="16" width="14.7109375" style="2" customWidth="1"/>
    <col min="17" max="17" width="12.7109375" style="2" customWidth="1"/>
    <col min="18" max="18" width="10.85546875" style="2" customWidth="1"/>
    <col min="19" max="19" width="10.7109375" style="2" customWidth="1"/>
    <col min="20" max="20" width="11.42578125" style="2" customWidth="1"/>
    <col min="21" max="21" width="10.7109375" style="2" customWidth="1"/>
    <col min="22" max="25" width="8.85546875" style="2" customWidth="1"/>
    <col min="26" max="26" width="8.85546875" style="2" hidden="1" customWidth="1"/>
    <col min="27" max="27" width="12.140625" style="2" hidden="1" customWidth="1"/>
    <col min="28" max="28" width="12.7109375" style="2" hidden="1" customWidth="1"/>
    <col min="29" max="29" width="9.7109375" style="2" hidden="1" customWidth="1"/>
    <col min="30" max="30" width="10.28515625" style="2" hidden="1" customWidth="1"/>
    <col min="31" max="32" width="8.85546875" style="2" hidden="1" customWidth="1"/>
    <col min="33" max="33" width="0" style="2" hidden="1" customWidth="1"/>
    <col min="34" max="37" width="8.85546875" style="2"/>
    <col min="38" max="38" width="10.85546875" style="2" customWidth="1"/>
    <col min="39" max="56" width="8.85546875" style="2"/>
    <col min="57" max="16384" width="8.85546875" style="1"/>
  </cols>
  <sheetData>
    <row r="1" spans="1:40" ht="18.75" x14ac:dyDescent="0.3">
      <c r="A1" s="121" t="s">
        <v>180</v>
      </c>
      <c r="B1" s="121"/>
      <c r="C1" s="121"/>
      <c r="D1" s="121"/>
      <c r="E1" s="8" t="s">
        <v>107</v>
      </c>
      <c r="F1" s="9" t="s">
        <v>122</v>
      </c>
    </row>
    <row r="2" spans="1:40" x14ac:dyDescent="0.25">
      <c r="C2" s="2"/>
    </row>
    <row r="3" spans="1:40" x14ac:dyDescent="0.25">
      <c r="C3" s="2"/>
    </row>
    <row r="4" spans="1:40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137" t="s">
        <v>15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0" s="3" customFormat="1" ht="51" customHeight="1" x14ac:dyDescent="0.25">
      <c r="A5" s="134"/>
      <c r="B5" s="134"/>
      <c r="C5" s="134"/>
      <c r="D5" s="134"/>
      <c r="E5" s="134"/>
      <c r="F5" s="136"/>
      <c r="G5" s="6" t="s">
        <v>16</v>
      </c>
      <c r="H5" s="6" t="s">
        <v>17</v>
      </c>
      <c r="I5" s="6" t="s">
        <v>87</v>
      </c>
      <c r="J5" s="6" t="s">
        <v>88</v>
      </c>
      <c r="K5" s="6" t="s">
        <v>90</v>
      </c>
      <c r="L5" s="6" t="s">
        <v>3</v>
      </c>
      <c r="M5" s="6" t="s">
        <v>4</v>
      </c>
      <c r="N5" s="6" t="s">
        <v>175</v>
      </c>
      <c r="O5" s="6" t="s">
        <v>176</v>
      </c>
      <c r="P5" s="6" t="s">
        <v>177</v>
      </c>
      <c r="Q5" s="6" t="s">
        <v>178</v>
      </c>
      <c r="R5" s="6" t="s">
        <v>91</v>
      </c>
      <c r="S5" s="6" t="s">
        <v>18</v>
      </c>
      <c r="T5" s="6" t="s">
        <v>19</v>
      </c>
      <c r="U5" s="6" t="s">
        <v>20</v>
      </c>
      <c r="V5" s="6" t="s">
        <v>7</v>
      </c>
      <c r="W5" s="6" t="s">
        <v>8</v>
      </c>
      <c r="X5" s="6" t="s">
        <v>9</v>
      </c>
      <c r="Y5" s="6" t="s">
        <v>10</v>
      </c>
      <c r="Z5" s="6" t="s">
        <v>21</v>
      </c>
      <c r="AA5" s="6" t="s">
        <v>11</v>
      </c>
      <c r="AB5" s="6" t="s">
        <v>12</v>
      </c>
      <c r="AC5" s="6" t="s">
        <v>22</v>
      </c>
      <c r="AD5" s="6" t="s">
        <v>23</v>
      </c>
      <c r="AE5" s="6" t="s">
        <v>24</v>
      </c>
      <c r="AF5" s="6" t="s">
        <v>14</v>
      </c>
      <c r="AG5" s="6" t="s">
        <v>13</v>
      </c>
      <c r="AH5" s="6" t="s">
        <v>27</v>
      </c>
      <c r="AI5" s="6" t="s">
        <v>28</v>
      </c>
      <c r="AJ5" s="6" t="s">
        <v>29</v>
      </c>
      <c r="AK5" s="6" t="s">
        <v>30</v>
      </c>
      <c r="AL5" s="6" t="s">
        <v>31</v>
      </c>
      <c r="AM5" s="6" t="s">
        <v>32</v>
      </c>
      <c r="AN5" s="6" t="s">
        <v>33</v>
      </c>
    </row>
    <row r="6" spans="1:40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16" si="0">SUM(G6:AZ6)</f>
        <v>165</v>
      </c>
      <c r="G6" s="73"/>
      <c r="H6" s="73"/>
      <c r="I6" s="73"/>
      <c r="J6" s="73"/>
      <c r="K6" s="73"/>
      <c r="L6" s="73"/>
      <c r="M6" s="73"/>
      <c r="N6" s="81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>
        <v>165</v>
      </c>
      <c r="AI6" s="73"/>
      <c r="AJ6" s="73"/>
      <c r="AK6" s="73"/>
      <c r="AL6" s="73"/>
      <c r="AM6" s="73"/>
      <c r="AN6" s="73"/>
    </row>
    <row r="7" spans="1:40" x14ac:dyDescent="0.25">
      <c r="A7" s="71">
        <v>2</v>
      </c>
      <c r="B7" s="80" t="s">
        <v>194</v>
      </c>
      <c r="C7" s="71" t="e">
        <f>IF(B7&lt;&gt;0,(VLOOKUP($B7,сотрудники!$B$4:$D$217,2,0)),0)</f>
        <v>#N/A</v>
      </c>
      <c r="D7" s="71" t="e">
        <f>IF(C7&lt;&gt;0,(VLOOKUP($B7,сотрудники!$B$4:$D$217,3,0)),0)</f>
        <v>#N/A</v>
      </c>
      <c r="E7" s="71" t="e">
        <f>IF(D7&lt;&gt;0,(VLOOKUP($B7,сотрудники!$B$4:$E$217,4,0)),0)</f>
        <v>#N/A</v>
      </c>
      <c r="F7" s="72">
        <f t="shared" si="0"/>
        <v>154</v>
      </c>
      <c r="G7" s="73"/>
      <c r="H7" s="73"/>
      <c r="I7" s="73"/>
      <c r="J7" s="73"/>
      <c r="K7" s="73"/>
      <c r="L7" s="73"/>
      <c r="M7" s="73"/>
      <c r="N7" s="81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>
        <v>154</v>
      </c>
      <c r="AK7" s="73"/>
      <c r="AL7" s="73"/>
      <c r="AM7" s="73"/>
      <c r="AN7" s="73"/>
    </row>
    <row r="8" spans="1:40" x14ac:dyDescent="0.25">
      <c r="A8" s="71">
        <v>3</v>
      </c>
      <c r="B8" s="80" t="s">
        <v>195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176</v>
      </c>
      <c r="G8" s="73"/>
      <c r="H8" s="73"/>
      <c r="I8" s="73"/>
      <c r="J8" s="73"/>
      <c r="K8" s="73"/>
      <c r="L8" s="73"/>
      <c r="M8" s="73"/>
      <c r="N8" s="81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>
        <v>176</v>
      </c>
      <c r="AK8" s="73"/>
      <c r="AL8" s="73"/>
      <c r="AM8" s="73"/>
      <c r="AN8" s="73"/>
    </row>
    <row r="9" spans="1:40" x14ac:dyDescent="0.25">
      <c r="A9" s="71">
        <v>4</v>
      </c>
      <c r="B9" s="80" t="s">
        <v>196</v>
      </c>
      <c r="C9" s="71" t="e">
        <f>IF(B9&lt;&gt;0,(VLOOKUP($B9,сотрудники!$B$4:$D$217,2,0)),0)</f>
        <v>#N/A</v>
      </c>
      <c r="D9" s="71" t="e">
        <f>IF(C9&lt;&gt;0,(VLOOKUP($B9,сотрудники!$B$4:$D$217,3,0)),0)</f>
        <v>#N/A</v>
      </c>
      <c r="E9" s="71" t="e">
        <f>IF(D9&lt;&gt;0,(VLOOKUP($B9,сотрудники!$B$4:$E$217,4,0)),0)</f>
        <v>#N/A</v>
      </c>
      <c r="F9" s="72">
        <f t="shared" si="0"/>
        <v>165</v>
      </c>
      <c r="G9" s="73"/>
      <c r="H9" s="73"/>
      <c r="I9" s="73"/>
      <c r="J9" s="73"/>
      <c r="K9" s="73"/>
      <c r="L9" s="73"/>
      <c r="M9" s="73"/>
      <c r="N9" s="81"/>
      <c r="O9" s="73">
        <v>165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N9" s="73"/>
    </row>
    <row r="10" spans="1:40" x14ac:dyDescent="0.25">
      <c r="A10" s="71">
        <v>5</v>
      </c>
      <c r="B10" s="80" t="s">
        <v>197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165</v>
      </c>
      <c r="G10" s="73"/>
      <c r="H10" s="73"/>
      <c r="I10" s="73"/>
      <c r="J10" s="73"/>
      <c r="K10" s="73"/>
      <c r="L10" s="73"/>
      <c r="M10" s="73"/>
      <c r="N10" s="8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>
        <v>165</v>
      </c>
      <c r="AK10" s="73"/>
      <c r="AL10" s="73"/>
      <c r="AM10" s="73"/>
      <c r="AN10" s="73"/>
    </row>
    <row r="11" spans="1:40" s="2" customFormat="1" x14ac:dyDescent="0.25">
      <c r="A11" s="71">
        <v>6</v>
      </c>
      <c r="B11" s="80" t="s">
        <v>198</v>
      </c>
      <c r="C11" s="71" t="e">
        <f>IF(B11&lt;&gt;0,(VLOOKUP($B11,сотрудники!$B$4:$D$217,2,0)),0)</f>
        <v>#N/A</v>
      </c>
      <c r="D11" s="71" t="e">
        <f>IF(C11&lt;&gt;0,(VLOOKUP($B11,сотрудники!$B$4:$D$217,3,0)),0)</f>
        <v>#N/A</v>
      </c>
      <c r="E11" s="71" t="e">
        <f>IF(D11&lt;&gt;0,(VLOOKUP($B11,сотрудники!$B$4:$E$217,4,0)),0)</f>
        <v>#N/A</v>
      </c>
      <c r="F11" s="72">
        <f t="shared" si="0"/>
        <v>200</v>
      </c>
      <c r="G11" s="73"/>
      <c r="H11" s="73"/>
      <c r="I11" s="73"/>
      <c r="J11" s="73"/>
      <c r="K11" s="73"/>
      <c r="L11" s="73"/>
      <c r="M11" s="73"/>
      <c r="N11" s="8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>
        <v>80</v>
      </c>
      <c r="AL11" s="73">
        <v>120</v>
      </c>
      <c r="AM11" s="73"/>
      <c r="AN11" s="73"/>
    </row>
    <row r="12" spans="1:40" s="2" customFormat="1" x14ac:dyDescent="0.25">
      <c r="A12" s="71">
        <v>7</v>
      </c>
      <c r="B12" s="80" t="s">
        <v>200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176</v>
      </c>
      <c r="G12" s="73"/>
      <c r="H12" s="73"/>
      <c r="I12" s="73"/>
      <c r="J12" s="73"/>
      <c r="K12" s="73"/>
      <c r="L12" s="73"/>
      <c r="M12" s="73"/>
      <c r="N12" s="8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>
        <v>176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spans="1:40" s="2" customFormat="1" x14ac:dyDescent="0.25">
      <c r="A13" s="71">
        <v>8</v>
      </c>
      <c r="B13" s="80" t="s">
        <v>201</v>
      </c>
      <c r="C13" s="71" t="e">
        <f>IF(B13&lt;&gt;0,(VLOOKUP($B13,сотрудники!$B$4:$D$217,2,0)),0)</f>
        <v>#N/A</v>
      </c>
      <c r="D13" s="71" t="e">
        <f>IF(C13&lt;&gt;0,(VLOOKUP($B13,сотрудники!$B$4:$D$217,3,0)),0)</f>
        <v>#N/A</v>
      </c>
      <c r="E13" s="71" t="e">
        <f>IF(D13&lt;&gt;0,(VLOOKUP($B13,сотрудники!$B$4:$E$217,4,0)),0)</f>
        <v>#N/A</v>
      </c>
      <c r="F13" s="72">
        <f t="shared" si="0"/>
        <v>132</v>
      </c>
      <c r="G13" s="73"/>
      <c r="H13" s="73"/>
      <c r="I13" s="73">
        <v>132</v>
      </c>
      <c r="J13" s="73"/>
      <c r="K13" s="73"/>
      <c r="L13" s="73"/>
      <c r="M13" s="73"/>
      <c r="N13" s="8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spans="1:40" s="2" customFormat="1" x14ac:dyDescent="0.25">
      <c r="A14" s="71">
        <v>9</v>
      </c>
      <c r="B14" s="80" t="s">
        <v>202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176</v>
      </c>
      <c r="G14" s="73"/>
      <c r="H14" s="73">
        <v>88</v>
      </c>
      <c r="I14" s="73"/>
      <c r="J14" s="73">
        <v>88</v>
      </c>
      <c r="K14" s="73"/>
      <c r="L14" s="73"/>
      <c r="M14" s="73"/>
      <c r="N14" s="8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spans="1:40" s="2" customFormat="1" x14ac:dyDescent="0.25">
      <c r="A15" s="71">
        <v>10</v>
      </c>
      <c r="B15" s="80" t="s">
        <v>203</v>
      </c>
      <c r="C15" s="71" t="e">
        <f>IF(B15&lt;&gt;0,(VLOOKUP($B15,сотрудники!$B$4:$D$217,2,0)),0)</f>
        <v>#N/A</v>
      </c>
      <c r="D15" s="71" t="e">
        <f>IF(C15&lt;&gt;0,(VLOOKUP($B15,сотрудники!$B$4:$D$217,3,0)),0)</f>
        <v>#N/A</v>
      </c>
      <c r="E15" s="71" t="e">
        <f>IF(D15&lt;&gt;0,(VLOOKUP($B15,сотрудники!$B$4:$E$217,4,0)),0)</f>
        <v>#N/A</v>
      </c>
      <c r="F15" s="72">
        <f t="shared" si="0"/>
        <v>176</v>
      </c>
      <c r="G15" s="73"/>
      <c r="H15" s="73"/>
      <c r="I15" s="73"/>
      <c r="J15" s="73"/>
      <c r="K15" s="73"/>
      <c r="L15" s="73"/>
      <c r="M15" s="73"/>
      <c r="N15" s="8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>
        <v>56</v>
      </c>
      <c r="AL15" s="73">
        <v>120</v>
      </c>
      <c r="AM15" s="73"/>
      <c r="AN15" s="73"/>
    </row>
    <row r="16" spans="1:40" s="2" customFormat="1" x14ac:dyDescent="0.25">
      <c r="A16" s="71">
        <v>11</v>
      </c>
      <c r="B16" s="80" t="s">
        <v>204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165</v>
      </c>
      <c r="G16" s="73"/>
      <c r="H16" s="73"/>
      <c r="I16" s="73"/>
      <c r="J16" s="73"/>
      <c r="K16" s="73"/>
      <c r="L16" s="73"/>
      <c r="M16" s="73"/>
      <c r="N16" s="81"/>
      <c r="O16" s="73"/>
      <c r="P16" s="73"/>
      <c r="Q16" s="73"/>
      <c r="R16" s="73"/>
      <c r="S16" s="73"/>
      <c r="T16" s="73"/>
      <c r="U16" s="73">
        <v>41</v>
      </c>
      <c r="V16" s="73">
        <v>41</v>
      </c>
      <c r="W16" s="73">
        <v>41</v>
      </c>
      <c r="X16" s="73">
        <v>42</v>
      </c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spans="1:40" s="2" customFormat="1" x14ac:dyDescent="0.25">
      <c r="A17" s="71">
        <v>12</v>
      </c>
      <c r="B17" s="80" t="s">
        <v>205</v>
      </c>
      <c r="C17" s="71" t="e">
        <f>IF(B17&lt;&gt;0,(VLOOKUP($B17,сотрудники!$B$4:$D$217,2,0)),0)</f>
        <v>#N/A</v>
      </c>
      <c r="D17" s="71" t="e">
        <f>IF(C17&lt;&gt;0,(VLOOKUP($B17,сотрудники!$B$4:$D$217,3,0)),0)</f>
        <v>#N/A</v>
      </c>
      <c r="E17" s="71" t="e">
        <f>IF(D17&lt;&gt;0,(VLOOKUP($B17,сотрудники!$B$4:$E$217,4,0)),0)</f>
        <v>#N/A</v>
      </c>
      <c r="F17" s="72">
        <f t="shared" ref="F17" si="1">SUM(G17:AZ17)</f>
        <v>176</v>
      </c>
      <c r="G17" s="73"/>
      <c r="H17" s="73"/>
      <c r="I17" s="73"/>
      <c r="J17" s="73"/>
      <c r="K17" s="73"/>
      <c r="L17" s="73"/>
      <c r="M17" s="73"/>
      <c r="N17" s="8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>
        <v>176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spans="1:40" s="2" customFormat="1" x14ac:dyDescent="0.25">
      <c r="A18" s="71">
        <v>13</v>
      </c>
      <c r="B18" s="80" t="s">
        <v>206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ref="F18:F32" si="2">SUM(G18:AZ18)</f>
        <v>176</v>
      </c>
      <c r="G18" s="73"/>
      <c r="H18" s="73">
        <v>176</v>
      </c>
      <c r="I18" s="73"/>
      <c r="J18" s="73"/>
      <c r="K18" s="73"/>
      <c r="L18" s="73"/>
      <c r="M18" s="73"/>
      <c r="N18" s="8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spans="1:40" s="2" customFormat="1" x14ac:dyDescent="0.25">
      <c r="A19" s="71">
        <v>14</v>
      </c>
      <c r="B19" s="80" t="s">
        <v>207</v>
      </c>
      <c r="C19" s="71" t="e">
        <f>IF(B19&lt;&gt;0,(VLOOKUP($B19,сотрудники!$B$4:$D$217,2,0)),0)</f>
        <v>#N/A</v>
      </c>
      <c r="D19" s="71" t="e">
        <f>IF(C19&lt;&gt;0,(VLOOKUP($B19,сотрудники!$B$4:$D$217,3,0)),0)</f>
        <v>#N/A</v>
      </c>
      <c r="E19" s="71" t="e">
        <f>IF(D19&lt;&gt;0,(VLOOKUP($B19,сотрудники!$B$4:$E$217,4,0)),0)</f>
        <v>#N/A</v>
      </c>
      <c r="F19" s="72">
        <f t="shared" si="2"/>
        <v>88</v>
      </c>
      <c r="G19" s="73"/>
      <c r="H19" s="73"/>
      <c r="I19" s="73"/>
      <c r="J19" s="73"/>
      <c r="K19" s="73"/>
      <c r="L19" s="73"/>
      <c r="M19" s="73"/>
      <c r="N19" s="81"/>
      <c r="O19" s="73"/>
      <c r="P19" s="73"/>
      <c r="Q19" s="73"/>
      <c r="R19" s="73"/>
      <c r="S19" s="73"/>
      <c r="T19" s="73"/>
      <c r="U19" s="73">
        <v>22</v>
      </c>
      <c r="V19" s="73">
        <v>22</v>
      </c>
      <c r="W19" s="73">
        <v>22</v>
      </c>
      <c r="X19" s="73">
        <v>22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spans="1:40" s="2" customFormat="1" x14ac:dyDescent="0.25">
      <c r="A20" s="71">
        <v>15</v>
      </c>
      <c r="B20" s="80" t="s">
        <v>208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2"/>
        <v>121</v>
      </c>
      <c r="G20" s="73"/>
      <c r="H20" s="73"/>
      <c r="I20" s="73"/>
      <c r="J20" s="73"/>
      <c r="K20" s="73"/>
      <c r="L20" s="73"/>
      <c r="M20" s="73"/>
      <c r="N20" s="81"/>
      <c r="O20" s="73"/>
      <c r="P20" s="73"/>
      <c r="Q20" s="73"/>
      <c r="R20" s="73">
        <v>41</v>
      </c>
      <c r="S20" s="73">
        <v>41</v>
      </c>
      <c r="T20" s="73">
        <v>39</v>
      </c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spans="1:40" s="2" customFormat="1" x14ac:dyDescent="0.25">
      <c r="A21" s="71">
        <v>16</v>
      </c>
      <c r="B21" s="80" t="s">
        <v>209</v>
      </c>
      <c r="C21" s="71" t="e">
        <f>IF(B21&lt;&gt;0,(VLOOKUP($B21,сотрудники!$B$4:$D$217,2,0)),0)</f>
        <v>#N/A</v>
      </c>
      <c r="D21" s="71" t="e">
        <f>IF(C21&lt;&gt;0,(VLOOKUP($B21,сотрудники!$B$4:$D$217,3,0)),0)</f>
        <v>#N/A</v>
      </c>
      <c r="E21" s="71" t="e">
        <f>IF(D21&lt;&gt;0,(VLOOKUP($B21,сотрудники!$B$4:$E$217,4,0)),0)</f>
        <v>#N/A</v>
      </c>
      <c r="F21" s="72">
        <f t="shared" si="2"/>
        <v>168</v>
      </c>
      <c r="G21" s="73"/>
      <c r="H21" s="73"/>
      <c r="I21" s="73"/>
      <c r="J21" s="73"/>
      <c r="K21" s="73"/>
      <c r="L21" s="73"/>
      <c r="M21" s="73"/>
      <c r="N21" s="8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>
        <v>168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spans="1:40" s="2" customFormat="1" x14ac:dyDescent="0.25">
      <c r="A22" s="71">
        <v>17</v>
      </c>
      <c r="B22" s="80" t="s">
        <v>210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2"/>
        <v>176</v>
      </c>
      <c r="G22" s="73"/>
      <c r="H22" s="73"/>
      <c r="I22" s="73"/>
      <c r="J22" s="73"/>
      <c r="K22" s="73"/>
      <c r="L22" s="73"/>
      <c r="M22" s="73"/>
      <c r="N22" s="8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>
        <v>176</v>
      </c>
      <c r="AI22" s="73"/>
      <c r="AJ22" s="73"/>
      <c r="AK22" s="73"/>
      <c r="AL22" s="73"/>
      <c r="AM22" s="73"/>
      <c r="AN22" s="73"/>
    </row>
    <row r="23" spans="1:40" s="2" customFormat="1" x14ac:dyDescent="0.25">
      <c r="A23" s="71">
        <v>18</v>
      </c>
      <c r="B23" s="80" t="s">
        <v>211</v>
      </c>
      <c r="C23" s="71" t="e">
        <f>IF(B23&lt;&gt;0,(VLOOKUP($B23,сотрудники!$B$4:$D$217,2,0)),0)</f>
        <v>#N/A</v>
      </c>
      <c r="D23" s="71" t="e">
        <f>IF(C23&lt;&gt;0,(VLOOKUP($B23,сотрудники!$B$4:$D$217,3,0)),0)</f>
        <v>#N/A</v>
      </c>
      <c r="E23" s="71" t="e">
        <f>IF(D23&lt;&gt;0,(VLOOKUP($B23,сотрудники!$B$4:$E$217,4,0)),0)</f>
        <v>#N/A</v>
      </c>
      <c r="F23" s="72">
        <f t="shared" si="2"/>
        <v>165</v>
      </c>
      <c r="G23" s="73"/>
      <c r="H23" s="73">
        <v>165</v>
      </c>
      <c r="I23" s="73"/>
      <c r="J23" s="73"/>
      <c r="K23" s="73"/>
      <c r="L23" s="73"/>
      <c r="M23" s="73"/>
      <c r="N23" s="8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spans="1:40" s="2" customFormat="1" x14ac:dyDescent="0.25">
      <c r="A24" s="71">
        <v>19</v>
      </c>
      <c r="B24" s="80" t="s">
        <v>199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2"/>
        <v>176</v>
      </c>
      <c r="G24" s="73"/>
      <c r="H24" s="73"/>
      <c r="I24" s="73"/>
      <c r="J24" s="73"/>
      <c r="K24" s="73"/>
      <c r="L24" s="73"/>
      <c r="M24" s="73"/>
      <c r="N24" s="81"/>
      <c r="O24" s="73"/>
      <c r="P24" s="73"/>
      <c r="Q24" s="73"/>
      <c r="R24" s="73">
        <v>58</v>
      </c>
      <c r="S24" s="73">
        <v>58</v>
      </c>
      <c r="T24" s="73">
        <v>60</v>
      </c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spans="1:40" s="2" customFormat="1" x14ac:dyDescent="0.25">
      <c r="A25" s="71">
        <v>20</v>
      </c>
      <c r="B25" s="80" t="s">
        <v>212</v>
      </c>
      <c r="C25" s="71" t="e">
        <f>IF(B25&lt;&gt;0,(VLOOKUP($B25,сотрудники!$B$4:$D$217,2,0)),0)</f>
        <v>#N/A</v>
      </c>
      <c r="D25" s="71" t="e">
        <f>IF(C25&lt;&gt;0,(VLOOKUP($B25,сотрудники!$B$4:$D$217,3,0)),0)</f>
        <v>#N/A</v>
      </c>
      <c r="E25" s="71" t="e">
        <f>IF(D25&lt;&gt;0,(VLOOKUP($B25,сотрудники!$B$4:$E$217,4,0)),0)</f>
        <v>#N/A</v>
      </c>
      <c r="F25" s="72">
        <f t="shared" si="2"/>
        <v>176</v>
      </c>
      <c r="G25" s="73">
        <v>176</v>
      </c>
      <c r="H25" s="73"/>
      <c r="I25" s="73"/>
      <c r="J25" s="73"/>
      <c r="K25" s="73"/>
      <c r="L25" s="73"/>
      <c r="M25" s="73"/>
      <c r="N25" s="8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</row>
    <row r="26" spans="1:40" s="2" customFormat="1" x14ac:dyDescent="0.25">
      <c r="A26" s="71">
        <v>21</v>
      </c>
      <c r="B26" s="80" t="s">
        <v>213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2"/>
        <v>120</v>
      </c>
      <c r="G26" s="73"/>
      <c r="H26" s="73"/>
      <c r="I26" s="73"/>
      <c r="J26" s="73"/>
      <c r="K26" s="73"/>
      <c r="L26" s="73"/>
      <c r="M26" s="73"/>
      <c r="N26" s="8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>
        <v>40</v>
      </c>
      <c r="AL26" s="73">
        <v>80</v>
      </c>
      <c r="AM26" s="73"/>
      <c r="AN26" s="73"/>
    </row>
    <row r="27" spans="1:40" s="2" customFormat="1" x14ac:dyDescent="0.25">
      <c r="A27" s="71">
        <v>22</v>
      </c>
      <c r="B27" s="80" t="s">
        <v>214</v>
      </c>
      <c r="C27" s="71" t="e">
        <f>IF(B27&lt;&gt;0,(VLOOKUP($B27,сотрудники!$B$4:$D$217,2,0)),0)</f>
        <v>#N/A</v>
      </c>
      <c r="D27" s="71" t="e">
        <f>IF(C27&lt;&gt;0,(VLOOKUP($B27,сотрудники!$B$4:$D$217,3,0)),0)</f>
        <v>#N/A</v>
      </c>
      <c r="E27" s="71" t="e">
        <f>IF(D27&lt;&gt;0,(VLOOKUP($B27,сотрудники!$B$4:$E$217,4,0)),0)</f>
        <v>#N/A</v>
      </c>
      <c r="F27" s="72">
        <f t="shared" si="2"/>
        <v>176</v>
      </c>
      <c r="G27" s="73"/>
      <c r="H27" s="73"/>
      <c r="I27" s="73">
        <v>88</v>
      </c>
      <c r="J27" s="73"/>
      <c r="K27" s="73"/>
      <c r="L27" s="73"/>
      <c r="M27" s="73"/>
      <c r="N27" s="81"/>
      <c r="O27" s="73">
        <v>88</v>
      </c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spans="1:40" s="2" customFormat="1" x14ac:dyDescent="0.25">
      <c r="A28" s="71">
        <v>23</v>
      </c>
      <c r="B28" s="80" t="s">
        <v>215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si="2"/>
        <v>176</v>
      </c>
      <c r="G28" s="73"/>
      <c r="H28" s="73"/>
      <c r="I28" s="73"/>
      <c r="J28" s="73"/>
      <c r="K28" s="73"/>
      <c r="L28" s="73"/>
      <c r="M28" s="73"/>
      <c r="N28" s="81"/>
      <c r="O28" s="73">
        <v>176</v>
      </c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spans="1:40" s="2" customFormat="1" x14ac:dyDescent="0.25">
      <c r="A29" s="71">
        <v>24</v>
      </c>
      <c r="B29" s="80" t="s">
        <v>216</v>
      </c>
      <c r="C29" s="71" t="e">
        <f>IF(B29&lt;&gt;0,(VLOOKUP($B29,сотрудники!$B$4:$D$217,2,0)),0)</f>
        <v>#N/A</v>
      </c>
      <c r="D29" s="71" t="e">
        <f>IF(C29&lt;&gt;0,(VLOOKUP($B29,сотрудники!$B$4:$D$217,3,0)),0)</f>
        <v>#N/A</v>
      </c>
      <c r="E29" s="71" t="e">
        <f>IF(D29&lt;&gt;0,(VLOOKUP($B29,сотрудники!$B$4:$E$217,4,0)),0)</f>
        <v>#N/A</v>
      </c>
      <c r="F29" s="72">
        <f t="shared" si="2"/>
        <v>176</v>
      </c>
      <c r="G29" s="73"/>
      <c r="H29" s="73"/>
      <c r="I29" s="73"/>
      <c r="J29" s="73"/>
      <c r="K29" s="73"/>
      <c r="L29" s="73"/>
      <c r="M29" s="73"/>
      <c r="N29" s="81"/>
      <c r="O29" s="73"/>
      <c r="P29" s="73"/>
      <c r="Q29" s="73"/>
      <c r="R29" s="73"/>
      <c r="S29" s="73"/>
      <c r="T29" s="73"/>
      <c r="U29" s="73">
        <v>44</v>
      </c>
      <c r="V29" s="73">
        <v>44</v>
      </c>
      <c r="W29" s="73">
        <v>44</v>
      </c>
      <c r="X29" s="73">
        <v>44</v>
      </c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spans="1:40" s="2" customFormat="1" x14ac:dyDescent="0.25">
      <c r="A30" s="71">
        <v>25</v>
      </c>
      <c r="B30" s="80" t="s">
        <v>217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si="2"/>
        <v>132</v>
      </c>
      <c r="G30" s="73"/>
      <c r="H30" s="73"/>
      <c r="I30" s="73">
        <v>132</v>
      </c>
      <c r="J30" s="73"/>
      <c r="K30" s="73"/>
      <c r="L30" s="73"/>
      <c r="M30" s="73"/>
      <c r="N30" s="8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spans="1:40" s="2" customFormat="1" x14ac:dyDescent="0.25">
      <c r="A31" s="71">
        <v>26</v>
      </c>
      <c r="B31" s="80" t="s">
        <v>218</v>
      </c>
      <c r="C31" s="71" t="e">
        <f>IF(B31&lt;&gt;0,(VLOOKUP($B31,сотрудники!$B$4:$D$217,2,0)),0)</f>
        <v>#N/A</v>
      </c>
      <c r="D31" s="71" t="e">
        <f>IF(C31&lt;&gt;0,(VLOOKUP($B31,сотрудники!$B$4:$D$217,3,0)),0)</f>
        <v>#N/A</v>
      </c>
      <c r="E31" s="71" t="e">
        <f>IF(D31&lt;&gt;0,(VLOOKUP($B31,сотрудники!$B$4:$E$217,4,0)),0)</f>
        <v>#N/A</v>
      </c>
      <c r="F31" s="72">
        <f t="shared" si="2"/>
        <v>176</v>
      </c>
      <c r="G31" s="73"/>
      <c r="H31" s="73"/>
      <c r="I31" s="73"/>
      <c r="J31" s="73"/>
      <c r="K31" s="73"/>
      <c r="L31" s="73"/>
      <c r="M31" s="73"/>
      <c r="N31" s="8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>
        <v>176</v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spans="1:40" s="2" customFormat="1" x14ac:dyDescent="0.25">
      <c r="A32" s="71">
        <v>27</v>
      </c>
      <c r="B32" s="80" t="s">
        <v>219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2"/>
        <v>162</v>
      </c>
      <c r="G32" s="73"/>
      <c r="H32" s="73"/>
      <c r="I32" s="73"/>
      <c r="J32" s="73"/>
      <c r="K32" s="73"/>
      <c r="L32" s="73"/>
      <c r="M32" s="73"/>
      <c r="N32" s="8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>
        <v>162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spans="1:40" x14ac:dyDescent="0.25">
      <c r="A33" s="71">
        <v>28</v>
      </c>
      <c r="B33" s="80" t="s">
        <v>222</v>
      </c>
      <c r="C33" s="71" t="e">
        <f>IF(B33&lt;&gt;0,(VLOOKUP($B33,сотрудники!$B$4:$D$217,2,0)),0)</f>
        <v>#N/A</v>
      </c>
      <c r="D33" s="71" t="e">
        <f>IF(C33&lt;&gt;0,(VLOOKUP($B33,сотрудники!$B$4:$D$217,3,0)),0)</f>
        <v>#N/A</v>
      </c>
      <c r="E33" s="71" t="e">
        <f>IF(D33&lt;&gt;0,(VLOOKUP($B33,сотрудники!$B$4:$E$217,4,0)),0)</f>
        <v>#N/A</v>
      </c>
      <c r="F33" s="72">
        <f t="shared" ref="F33" si="3">SUM(G33:AZ33)</f>
        <v>165</v>
      </c>
      <c r="G33" s="73">
        <v>165</v>
      </c>
      <c r="H33" s="73"/>
      <c r="I33" s="73"/>
      <c r="J33" s="73"/>
      <c r="K33" s="73"/>
      <c r="L33" s="73"/>
      <c r="M33" s="73"/>
      <c r="N33" s="8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spans="1:40" x14ac:dyDescent="0.25">
      <c r="A34" s="71">
        <v>29</v>
      </c>
      <c r="B34" s="80" t="s">
        <v>223</v>
      </c>
      <c r="C34" s="71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 t="shared" ref="F34" si="4">SUM(G34:AZ34)</f>
        <v>110</v>
      </c>
      <c r="G34" s="73"/>
      <c r="H34" s="73"/>
      <c r="I34" s="73"/>
      <c r="J34" s="73"/>
      <c r="K34" s="73"/>
      <c r="L34" s="73"/>
      <c r="M34" s="73"/>
      <c r="N34" s="81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>
        <v>110</v>
      </c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</sheetData>
  <autoFilter ref="A4:AN32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</autoFilter>
  <mergeCells count="8">
    <mergeCell ref="F4:F5"/>
    <mergeCell ref="G4:AN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E62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58" sqref="G5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1.85546875" style="2" customWidth="1"/>
    <col min="12" max="12" width="12.140625" style="2" hidden="1" customWidth="1"/>
    <col min="13" max="15" width="8.85546875" style="2" hidden="1" customWidth="1"/>
    <col min="16" max="16" width="12.85546875" style="2" customWidth="1"/>
    <col min="17" max="17" width="14.7109375" style="2" customWidth="1"/>
    <col min="18" max="18" width="12.7109375" style="2" customWidth="1"/>
    <col min="19" max="19" width="10.85546875" style="2" customWidth="1"/>
    <col min="20" max="20" width="10.7109375" style="2" customWidth="1"/>
    <col min="21" max="21" width="11.42578125" style="2" customWidth="1"/>
    <col min="22" max="22" width="10.7109375" style="2" customWidth="1"/>
    <col min="23" max="26" width="8.85546875" style="2" customWidth="1"/>
    <col min="27" max="27" width="8.85546875" style="2" hidden="1" customWidth="1"/>
    <col min="28" max="28" width="12.140625" style="2" hidden="1" customWidth="1"/>
    <col min="29" max="29" width="12.7109375" style="2" hidden="1" customWidth="1"/>
    <col min="30" max="30" width="9.7109375" style="2" hidden="1" customWidth="1"/>
    <col min="31" max="31" width="10.28515625" style="2" hidden="1" customWidth="1"/>
    <col min="32" max="33" width="8.85546875" style="2" hidden="1" customWidth="1"/>
    <col min="34" max="34" width="0" style="2" hidden="1" customWidth="1"/>
    <col min="35" max="38" width="8.85546875" style="2"/>
    <col min="39" max="39" width="10.85546875" style="2" customWidth="1"/>
    <col min="40" max="57" width="8.85546875" style="2"/>
    <col min="58" max="16384" width="8.85546875" style="1"/>
  </cols>
  <sheetData>
    <row r="1" spans="1:41" ht="18.75" x14ac:dyDescent="0.3">
      <c r="A1" s="121" t="s">
        <v>180</v>
      </c>
      <c r="B1" s="121"/>
      <c r="C1" s="121"/>
      <c r="D1" s="121"/>
      <c r="E1" s="8" t="s">
        <v>107</v>
      </c>
      <c r="F1" s="9" t="s">
        <v>123</v>
      </c>
      <c r="G1" s="9"/>
    </row>
    <row r="2" spans="1:41" x14ac:dyDescent="0.25">
      <c r="C2" s="2"/>
    </row>
    <row r="3" spans="1:41" x14ac:dyDescent="0.25">
      <c r="C3" s="2"/>
    </row>
    <row r="4" spans="1:41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82"/>
      <c r="H4" s="137" t="s">
        <v>15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</row>
    <row r="5" spans="1:41" s="3" customFormat="1" ht="51" customHeight="1" x14ac:dyDescent="0.25">
      <c r="A5" s="134"/>
      <c r="B5" s="134"/>
      <c r="C5" s="134"/>
      <c r="D5" s="134"/>
      <c r="E5" s="134"/>
      <c r="F5" s="136"/>
      <c r="G5" s="83"/>
      <c r="H5" s="6" t="s">
        <v>16</v>
      </c>
      <c r="I5" s="6" t="s">
        <v>17</v>
      </c>
      <c r="J5" s="6" t="s">
        <v>87</v>
      </c>
      <c r="K5" s="6" t="s">
        <v>88</v>
      </c>
      <c r="L5" s="6" t="s">
        <v>90</v>
      </c>
      <c r="M5" s="6" t="s">
        <v>3</v>
      </c>
      <c r="N5" s="6" t="s">
        <v>4</v>
      </c>
      <c r="O5" s="6" t="s">
        <v>175</v>
      </c>
      <c r="P5" s="6" t="s">
        <v>176</v>
      </c>
      <c r="Q5" s="6" t="s">
        <v>177</v>
      </c>
      <c r="R5" s="6" t="s">
        <v>178</v>
      </c>
      <c r="S5" s="6" t="s">
        <v>91</v>
      </c>
      <c r="T5" s="6" t="s">
        <v>18</v>
      </c>
      <c r="U5" s="6" t="s">
        <v>19</v>
      </c>
      <c r="V5" s="6" t="s">
        <v>20</v>
      </c>
      <c r="W5" s="6" t="s">
        <v>7</v>
      </c>
      <c r="X5" s="6" t="s">
        <v>8</v>
      </c>
      <c r="Y5" s="6" t="s">
        <v>9</v>
      </c>
      <c r="Z5" s="6" t="s">
        <v>10</v>
      </c>
      <c r="AA5" s="6" t="s">
        <v>21</v>
      </c>
      <c r="AB5" s="6" t="s">
        <v>11</v>
      </c>
      <c r="AC5" s="6" t="s">
        <v>12</v>
      </c>
      <c r="AD5" s="6" t="s">
        <v>22</v>
      </c>
      <c r="AE5" s="6" t="s">
        <v>23</v>
      </c>
      <c r="AF5" s="6" t="s">
        <v>24</v>
      </c>
      <c r="AG5" s="6" t="s">
        <v>14</v>
      </c>
      <c r="AH5" s="6" t="s">
        <v>13</v>
      </c>
      <c r="AI5" s="6" t="s">
        <v>27</v>
      </c>
      <c r="AJ5" s="6" t="s">
        <v>28</v>
      </c>
      <c r="AK5" s="6" t="s">
        <v>29</v>
      </c>
      <c r="AL5" s="6" t="s">
        <v>30</v>
      </c>
      <c r="AM5" s="6" t="s">
        <v>31</v>
      </c>
      <c r="AN5" s="6" t="s">
        <v>32</v>
      </c>
      <c r="AO5" s="6" t="s">
        <v>33</v>
      </c>
    </row>
    <row r="6" spans="1:41" x14ac:dyDescent="0.25">
      <c r="A6" s="71">
        <v>1</v>
      </c>
      <c r="B6" s="80" t="s">
        <v>193</v>
      </c>
      <c r="C6" s="71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 t="shared" ref="F6:F26" si="0">SUM(H6:BA6)</f>
        <v>88</v>
      </c>
      <c r="G6" s="72"/>
      <c r="H6" s="73"/>
      <c r="I6" s="73"/>
      <c r="J6" s="73"/>
      <c r="K6" s="73"/>
      <c r="L6" s="73"/>
      <c r="M6" s="73"/>
      <c r="N6" s="73"/>
      <c r="O6" s="81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>
        <v>88</v>
      </c>
      <c r="AJ6" s="73"/>
      <c r="AK6" s="73"/>
      <c r="AL6" s="73"/>
      <c r="AM6" s="73"/>
      <c r="AN6" s="73"/>
      <c r="AO6" s="73"/>
    </row>
    <row r="7" spans="1:41" x14ac:dyDescent="0.25">
      <c r="A7" s="71"/>
      <c r="B7" s="80"/>
      <c r="C7" s="71"/>
      <c r="D7" s="71"/>
      <c r="E7" s="71"/>
      <c r="F7" s="72"/>
      <c r="G7" s="72"/>
      <c r="H7" s="73"/>
      <c r="I7" s="73"/>
      <c r="J7" s="73"/>
      <c r="K7" s="73"/>
      <c r="L7" s="73"/>
      <c r="M7" s="73"/>
      <c r="N7" s="73"/>
      <c r="O7" s="81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</row>
    <row r="8" spans="1:41" x14ac:dyDescent="0.25">
      <c r="A8" s="71">
        <v>2</v>
      </c>
      <c r="B8" s="80" t="s">
        <v>194</v>
      </c>
      <c r="C8" s="71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 t="shared" si="0"/>
        <v>165</v>
      </c>
      <c r="G8" s="72"/>
      <c r="H8" s="73"/>
      <c r="I8" s="73"/>
      <c r="J8" s="73"/>
      <c r="K8" s="73"/>
      <c r="L8" s="73"/>
      <c r="M8" s="73"/>
      <c r="N8" s="73"/>
      <c r="O8" s="81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165</v>
      </c>
      <c r="AL8" s="73"/>
      <c r="AM8" s="73"/>
      <c r="AN8" s="73"/>
      <c r="AO8" s="73"/>
    </row>
    <row r="9" spans="1:41" x14ac:dyDescent="0.25">
      <c r="A9" s="71"/>
      <c r="B9" s="80"/>
      <c r="C9" s="71"/>
      <c r="D9" s="71"/>
      <c r="E9" s="71"/>
      <c r="F9" s="72"/>
      <c r="G9" s="72"/>
      <c r="H9" s="73"/>
      <c r="I9" s="73"/>
      <c r="J9" s="73"/>
      <c r="K9" s="73"/>
      <c r="L9" s="73"/>
      <c r="M9" s="73"/>
      <c r="N9" s="73"/>
      <c r="O9" s="81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x14ac:dyDescent="0.25">
      <c r="A10" s="71">
        <v>3</v>
      </c>
      <c r="B10" s="80" t="s">
        <v>195</v>
      </c>
      <c r="C10" s="71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 t="shared" si="0"/>
        <v>95</v>
      </c>
      <c r="G10" s="72"/>
      <c r="H10" s="73"/>
      <c r="I10" s="73"/>
      <c r="J10" s="73"/>
      <c r="K10" s="73"/>
      <c r="L10" s="73"/>
      <c r="M10" s="73"/>
      <c r="N10" s="73"/>
      <c r="O10" s="81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>
        <v>95</v>
      </c>
      <c r="AL10" s="73"/>
      <c r="AM10" s="73"/>
      <c r="AN10" s="73"/>
      <c r="AO10" s="73"/>
    </row>
    <row r="11" spans="1:41" x14ac:dyDescent="0.25">
      <c r="A11" s="71"/>
      <c r="B11" s="80"/>
      <c r="C11" s="71"/>
      <c r="D11" s="71"/>
      <c r="E11" s="71"/>
      <c r="F11" s="72"/>
      <c r="G11" s="72"/>
      <c r="H11" s="73"/>
      <c r="I11" s="73"/>
      <c r="J11" s="73"/>
      <c r="K11" s="73"/>
      <c r="L11" s="73"/>
      <c r="M11" s="73"/>
      <c r="N11" s="73"/>
      <c r="O11" s="81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87"/>
      <c r="AM11" s="87"/>
      <c r="AN11" s="87"/>
      <c r="AO11" s="73"/>
    </row>
    <row r="12" spans="1:41" x14ac:dyDescent="0.25">
      <c r="A12" s="71">
        <v>4</v>
      </c>
      <c r="B12" s="80" t="s">
        <v>196</v>
      </c>
      <c r="C12" s="71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 t="shared" si="0"/>
        <v>165</v>
      </c>
      <c r="G12" s="72"/>
      <c r="H12" s="73"/>
      <c r="I12" s="73"/>
      <c r="J12" s="73"/>
      <c r="K12" s="73"/>
      <c r="L12" s="73"/>
      <c r="M12" s="73"/>
      <c r="N12" s="73"/>
      <c r="O12" s="81"/>
      <c r="P12" s="73">
        <v>165</v>
      </c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O12" s="73"/>
    </row>
    <row r="13" spans="1:41" x14ac:dyDescent="0.25">
      <c r="A13" s="71"/>
      <c r="B13" s="80"/>
      <c r="C13" s="71"/>
      <c r="D13" s="71"/>
      <c r="E13" s="71"/>
      <c r="F13" s="72"/>
      <c r="G13" s="72"/>
      <c r="H13" s="73"/>
      <c r="I13" s="73"/>
      <c r="J13" s="73"/>
      <c r="K13" s="73"/>
      <c r="L13" s="73"/>
      <c r="M13" s="73"/>
      <c r="N13" s="73"/>
      <c r="O13" s="81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O13" s="73"/>
    </row>
    <row r="14" spans="1:41" x14ac:dyDescent="0.25">
      <c r="A14" s="71">
        <v>5</v>
      </c>
      <c r="B14" s="80" t="s">
        <v>197</v>
      </c>
      <c r="C14" s="71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 t="shared" si="0"/>
        <v>165</v>
      </c>
      <c r="G14" s="72"/>
      <c r="H14" s="73"/>
      <c r="I14" s="73"/>
      <c r="J14" s="73"/>
      <c r="K14" s="73"/>
      <c r="L14" s="73"/>
      <c r="M14" s="73"/>
      <c r="N14" s="73"/>
      <c r="O14" s="81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84">
        <v>165</v>
      </c>
      <c r="AL14" s="73"/>
      <c r="AM14" s="73"/>
      <c r="AN14" s="73"/>
      <c r="AO14" s="73"/>
    </row>
    <row r="15" spans="1:41" x14ac:dyDescent="0.25">
      <c r="A15" s="71"/>
      <c r="B15" s="80"/>
      <c r="C15" s="71"/>
      <c r="D15" s="71"/>
      <c r="E15" s="71"/>
      <c r="F15" s="72"/>
      <c r="G15" s="72"/>
      <c r="H15" s="73"/>
      <c r="I15" s="73"/>
      <c r="J15" s="73"/>
      <c r="K15" s="73"/>
      <c r="L15" s="73"/>
      <c r="M15" s="73"/>
      <c r="N15" s="73"/>
      <c r="O15" s="8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84"/>
      <c r="AL15" s="73"/>
      <c r="AM15" s="73"/>
      <c r="AN15" s="73"/>
      <c r="AO15" s="73"/>
    </row>
    <row r="16" spans="1:41" s="2" customFormat="1" x14ac:dyDescent="0.25">
      <c r="A16" s="71">
        <v>6</v>
      </c>
      <c r="B16" s="80" t="s">
        <v>198</v>
      </c>
      <c r="C16" s="71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 t="shared" si="0"/>
        <v>154</v>
      </c>
      <c r="G16" s="72"/>
      <c r="H16" s="73"/>
      <c r="I16" s="73"/>
      <c r="J16" s="73"/>
      <c r="K16" s="73"/>
      <c r="L16" s="73"/>
      <c r="M16" s="73"/>
      <c r="N16" s="73"/>
      <c r="O16" s="81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>
        <v>44</v>
      </c>
      <c r="AM16" s="73">
        <v>110</v>
      </c>
      <c r="AN16" s="73"/>
      <c r="AO16" s="73"/>
    </row>
    <row r="17" spans="1:41" s="2" customFormat="1" x14ac:dyDescent="0.25">
      <c r="A17" s="71"/>
      <c r="B17" s="80"/>
      <c r="C17" s="71"/>
      <c r="D17" s="71"/>
      <c r="E17" s="71"/>
      <c r="F17" s="72"/>
      <c r="G17" s="72" t="s">
        <v>224</v>
      </c>
      <c r="H17" s="88">
        <f t="shared" ref="H17:AO17" si="1">SUM(H16)/SUM($H$16:$AO$16)</f>
        <v>0</v>
      </c>
      <c r="I17" s="88">
        <f t="shared" si="1"/>
        <v>0</v>
      </c>
      <c r="J17" s="88">
        <f t="shared" si="1"/>
        <v>0</v>
      </c>
      <c r="K17" s="88">
        <f t="shared" si="1"/>
        <v>0</v>
      </c>
      <c r="L17" s="88">
        <f t="shared" si="1"/>
        <v>0</v>
      </c>
      <c r="M17" s="88">
        <f t="shared" si="1"/>
        <v>0</v>
      </c>
      <c r="N17" s="88">
        <f t="shared" si="1"/>
        <v>0</v>
      </c>
      <c r="O17" s="89">
        <f t="shared" si="1"/>
        <v>0</v>
      </c>
      <c r="P17" s="88">
        <f t="shared" si="1"/>
        <v>0</v>
      </c>
      <c r="Q17" s="88">
        <f t="shared" si="1"/>
        <v>0</v>
      </c>
      <c r="R17" s="88">
        <f t="shared" si="1"/>
        <v>0</v>
      </c>
      <c r="S17" s="88">
        <f t="shared" si="1"/>
        <v>0</v>
      </c>
      <c r="T17" s="88">
        <f t="shared" si="1"/>
        <v>0</v>
      </c>
      <c r="U17" s="88">
        <f t="shared" si="1"/>
        <v>0</v>
      </c>
      <c r="V17" s="88">
        <f t="shared" si="1"/>
        <v>0</v>
      </c>
      <c r="W17" s="88">
        <f t="shared" si="1"/>
        <v>0</v>
      </c>
      <c r="X17" s="88">
        <f t="shared" si="1"/>
        <v>0</v>
      </c>
      <c r="Y17" s="88">
        <f t="shared" si="1"/>
        <v>0</v>
      </c>
      <c r="Z17" s="88">
        <f t="shared" si="1"/>
        <v>0</v>
      </c>
      <c r="AA17" s="88">
        <f t="shared" si="1"/>
        <v>0</v>
      </c>
      <c r="AB17" s="88">
        <f t="shared" si="1"/>
        <v>0</v>
      </c>
      <c r="AC17" s="88">
        <f t="shared" si="1"/>
        <v>0</v>
      </c>
      <c r="AD17" s="88">
        <f t="shared" si="1"/>
        <v>0</v>
      </c>
      <c r="AE17" s="88">
        <f t="shared" si="1"/>
        <v>0</v>
      </c>
      <c r="AF17" s="88">
        <f t="shared" si="1"/>
        <v>0</v>
      </c>
      <c r="AG17" s="88">
        <f t="shared" si="1"/>
        <v>0</v>
      </c>
      <c r="AH17" s="88">
        <f t="shared" si="1"/>
        <v>0</v>
      </c>
      <c r="AI17" s="88">
        <f t="shared" si="1"/>
        <v>0</v>
      </c>
      <c r="AJ17" s="88">
        <f t="shared" si="1"/>
        <v>0</v>
      </c>
      <c r="AK17" s="88">
        <f t="shared" si="1"/>
        <v>0</v>
      </c>
      <c r="AL17" s="88">
        <f t="shared" si="1"/>
        <v>0.2857142857142857</v>
      </c>
      <c r="AM17" s="88">
        <f t="shared" si="1"/>
        <v>0.7142857142857143</v>
      </c>
      <c r="AN17" s="88">
        <f t="shared" si="1"/>
        <v>0</v>
      </c>
      <c r="AO17" s="88">
        <f t="shared" si="1"/>
        <v>0</v>
      </c>
    </row>
    <row r="18" spans="1:41" s="2" customFormat="1" x14ac:dyDescent="0.25">
      <c r="A18" s="71">
        <v>7</v>
      </c>
      <c r="B18" s="80" t="s">
        <v>200</v>
      </c>
      <c r="C18" s="71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 t="shared" si="0"/>
        <v>165</v>
      </c>
      <c r="G18" s="72"/>
      <c r="H18" s="73"/>
      <c r="I18" s="73"/>
      <c r="J18" s="73"/>
      <c r="K18" s="73"/>
      <c r="L18" s="73"/>
      <c r="M18" s="73"/>
      <c r="N18" s="73"/>
      <c r="O18" s="81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>
        <v>165</v>
      </c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</row>
    <row r="19" spans="1:41" s="2" customFormat="1" x14ac:dyDescent="0.25">
      <c r="A19" s="71"/>
      <c r="B19" s="80"/>
      <c r="C19" s="71"/>
      <c r="D19" s="71"/>
      <c r="E19" s="71"/>
      <c r="F19" s="72"/>
      <c r="G19" s="72"/>
      <c r="H19" s="73"/>
      <c r="I19" s="73"/>
      <c r="J19" s="73"/>
      <c r="K19" s="73"/>
      <c r="L19" s="73"/>
      <c r="M19" s="73"/>
      <c r="N19" s="73"/>
      <c r="O19" s="81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spans="1:41" s="2" customFormat="1" x14ac:dyDescent="0.25">
      <c r="A20" s="71">
        <v>8</v>
      </c>
      <c r="B20" s="80" t="s">
        <v>201</v>
      </c>
      <c r="C20" s="71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 t="shared" si="0"/>
        <v>132</v>
      </c>
      <c r="G20" s="72"/>
      <c r="H20" s="73"/>
      <c r="I20" s="73"/>
      <c r="J20" s="73">
        <v>132</v>
      </c>
      <c r="K20" s="73"/>
      <c r="L20" s="73"/>
      <c r="M20" s="73"/>
      <c r="N20" s="73"/>
      <c r="O20" s="81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</row>
    <row r="21" spans="1:41" s="2" customFormat="1" x14ac:dyDescent="0.25">
      <c r="A21" s="71"/>
      <c r="B21" s="80"/>
      <c r="C21" s="71"/>
      <c r="D21" s="71"/>
      <c r="E21" s="71"/>
      <c r="F21" s="72"/>
      <c r="G21" s="72"/>
      <c r="H21" s="73"/>
      <c r="I21" s="73"/>
      <c r="J21" s="73"/>
      <c r="K21" s="73"/>
      <c r="L21" s="73"/>
      <c r="M21" s="73"/>
      <c r="N21" s="73"/>
      <c r="O21" s="81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</row>
    <row r="22" spans="1:41" s="2" customFormat="1" x14ac:dyDescent="0.25">
      <c r="A22" s="71">
        <v>9</v>
      </c>
      <c r="B22" s="80" t="s">
        <v>202</v>
      </c>
      <c r="C22" s="71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 t="shared" si="0"/>
        <v>167</v>
      </c>
      <c r="G22" s="72"/>
      <c r="H22" s="73"/>
      <c r="I22" s="73">
        <v>80</v>
      </c>
      <c r="J22" s="73"/>
      <c r="K22" s="73">
        <v>87</v>
      </c>
      <c r="L22" s="73"/>
      <c r="M22" s="73"/>
      <c r="N22" s="73"/>
      <c r="O22" s="81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</row>
    <row r="23" spans="1:41" s="2" customFormat="1" x14ac:dyDescent="0.25">
      <c r="A23" s="71"/>
      <c r="B23" s="80"/>
      <c r="C23" s="71"/>
      <c r="D23" s="71"/>
      <c r="E23" s="71"/>
      <c r="F23" s="72"/>
      <c r="G23" s="72" t="s">
        <v>224</v>
      </c>
      <c r="H23" s="88">
        <f t="shared" ref="H23:AO23" si="2">SUM(H22)/SUM($H$22:$AO$22)</f>
        <v>0</v>
      </c>
      <c r="I23" s="88">
        <f t="shared" si="2"/>
        <v>0.47904191616766467</v>
      </c>
      <c r="J23" s="88">
        <f t="shared" si="2"/>
        <v>0</v>
      </c>
      <c r="K23" s="88">
        <f t="shared" si="2"/>
        <v>0.52095808383233533</v>
      </c>
      <c r="L23" s="88">
        <f t="shared" si="2"/>
        <v>0</v>
      </c>
      <c r="M23" s="88">
        <f t="shared" si="2"/>
        <v>0</v>
      </c>
      <c r="N23" s="88">
        <f t="shared" si="2"/>
        <v>0</v>
      </c>
      <c r="O23" s="89">
        <f t="shared" si="2"/>
        <v>0</v>
      </c>
      <c r="P23" s="88">
        <f t="shared" si="2"/>
        <v>0</v>
      </c>
      <c r="Q23" s="88">
        <f t="shared" si="2"/>
        <v>0</v>
      </c>
      <c r="R23" s="88">
        <f t="shared" si="2"/>
        <v>0</v>
      </c>
      <c r="S23" s="88">
        <f t="shared" si="2"/>
        <v>0</v>
      </c>
      <c r="T23" s="88">
        <f t="shared" si="2"/>
        <v>0</v>
      </c>
      <c r="U23" s="88">
        <f t="shared" si="2"/>
        <v>0</v>
      </c>
      <c r="V23" s="88">
        <f t="shared" si="2"/>
        <v>0</v>
      </c>
      <c r="W23" s="88">
        <f t="shared" si="2"/>
        <v>0</v>
      </c>
      <c r="X23" s="88">
        <f t="shared" si="2"/>
        <v>0</v>
      </c>
      <c r="Y23" s="88">
        <f t="shared" si="2"/>
        <v>0</v>
      </c>
      <c r="Z23" s="88">
        <f t="shared" si="2"/>
        <v>0</v>
      </c>
      <c r="AA23" s="88">
        <f t="shared" si="2"/>
        <v>0</v>
      </c>
      <c r="AB23" s="88">
        <f t="shared" si="2"/>
        <v>0</v>
      </c>
      <c r="AC23" s="88">
        <f t="shared" si="2"/>
        <v>0</v>
      </c>
      <c r="AD23" s="88">
        <f t="shared" si="2"/>
        <v>0</v>
      </c>
      <c r="AE23" s="88">
        <f t="shared" si="2"/>
        <v>0</v>
      </c>
      <c r="AF23" s="88">
        <f t="shared" si="2"/>
        <v>0</v>
      </c>
      <c r="AG23" s="88">
        <f t="shared" si="2"/>
        <v>0</v>
      </c>
      <c r="AH23" s="88">
        <f t="shared" si="2"/>
        <v>0</v>
      </c>
      <c r="AI23" s="88">
        <f t="shared" si="2"/>
        <v>0</v>
      </c>
      <c r="AJ23" s="88">
        <f t="shared" si="2"/>
        <v>0</v>
      </c>
      <c r="AK23" s="88">
        <f t="shared" si="2"/>
        <v>0</v>
      </c>
      <c r="AL23" s="88">
        <f t="shared" si="2"/>
        <v>0</v>
      </c>
      <c r="AM23" s="88">
        <f t="shared" si="2"/>
        <v>0</v>
      </c>
      <c r="AN23" s="88">
        <f t="shared" si="2"/>
        <v>0</v>
      </c>
      <c r="AO23" s="88">
        <f t="shared" si="2"/>
        <v>0</v>
      </c>
    </row>
    <row r="24" spans="1:41" s="2" customFormat="1" x14ac:dyDescent="0.25">
      <c r="A24" s="71">
        <v>10</v>
      </c>
      <c r="B24" s="80" t="s">
        <v>203</v>
      </c>
      <c r="C24" s="71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 t="shared" si="0"/>
        <v>167</v>
      </c>
      <c r="G24" s="72"/>
      <c r="H24" s="73"/>
      <c r="I24" s="73"/>
      <c r="J24" s="73"/>
      <c r="K24" s="73"/>
      <c r="L24" s="73"/>
      <c r="M24" s="73"/>
      <c r="N24" s="73"/>
      <c r="O24" s="81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>
        <v>67</v>
      </c>
      <c r="AM24" s="73">
        <v>100</v>
      </c>
      <c r="AN24" s="73"/>
      <c r="AO24" s="73"/>
    </row>
    <row r="25" spans="1:41" s="2" customFormat="1" x14ac:dyDescent="0.25">
      <c r="A25" s="71"/>
      <c r="B25" s="80"/>
      <c r="C25" s="71"/>
      <c r="D25" s="71"/>
      <c r="E25" s="71"/>
      <c r="F25" s="72"/>
      <c r="G25" s="72" t="s">
        <v>224</v>
      </c>
      <c r="H25" s="88">
        <f t="shared" ref="H25:AO25" si="3">SUM(H24)/SUM($H$24:$AO$24)</f>
        <v>0</v>
      </c>
      <c r="I25" s="88">
        <f t="shared" si="3"/>
        <v>0</v>
      </c>
      <c r="J25" s="88">
        <f t="shared" si="3"/>
        <v>0</v>
      </c>
      <c r="K25" s="88">
        <f t="shared" si="3"/>
        <v>0</v>
      </c>
      <c r="L25" s="88">
        <f t="shared" si="3"/>
        <v>0</v>
      </c>
      <c r="M25" s="88">
        <f t="shared" si="3"/>
        <v>0</v>
      </c>
      <c r="N25" s="88">
        <f t="shared" si="3"/>
        <v>0</v>
      </c>
      <c r="O25" s="89">
        <f t="shared" si="3"/>
        <v>0</v>
      </c>
      <c r="P25" s="88">
        <f t="shared" si="3"/>
        <v>0</v>
      </c>
      <c r="Q25" s="88">
        <f t="shared" si="3"/>
        <v>0</v>
      </c>
      <c r="R25" s="88">
        <f t="shared" si="3"/>
        <v>0</v>
      </c>
      <c r="S25" s="88">
        <f t="shared" si="3"/>
        <v>0</v>
      </c>
      <c r="T25" s="88">
        <f t="shared" si="3"/>
        <v>0</v>
      </c>
      <c r="U25" s="88">
        <f t="shared" si="3"/>
        <v>0</v>
      </c>
      <c r="V25" s="88">
        <f t="shared" si="3"/>
        <v>0</v>
      </c>
      <c r="W25" s="88">
        <f t="shared" si="3"/>
        <v>0</v>
      </c>
      <c r="X25" s="88">
        <f t="shared" si="3"/>
        <v>0</v>
      </c>
      <c r="Y25" s="88">
        <f t="shared" si="3"/>
        <v>0</v>
      </c>
      <c r="Z25" s="88">
        <f t="shared" si="3"/>
        <v>0</v>
      </c>
      <c r="AA25" s="88">
        <f t="shared" si="3"/>
        <v>0</v>
      </c>
      <c r="AB25" s="88">
        <f t="shared" si="3"/>
        <v>0</v>
      </c>
      <c r="AC25" s="88">
        <f t="shared" si="3"/>
        <v>0</v>
      </c>
      <c r="AD25" s="88">
        <f t="shared" si="3"/>
        <v>0</v>
      </c>
      <c r="AE25" s="88">
        <f t="shared" si="3"/>
        <v>0</v>
      </c>
      <c r="AF25" s="88">
        <f t="shared" si="3"/>
        <v>0</v>
      </c>
      <c r="AG25" s="88">
        <f t="shared" si="3"/>
        <v>0</v>
      </c>
      <c r="AH25" s="88">
        <f t="shared" si="3"/>
        <v>0</v>
      </c>
      <c r="AI25" s="88">
        <f t="shared" si="3"/>
        <v>0</v>
      </c>
      <c r="AJ25" s="88">
        <f t="shared" si="3"/>
        <v>0</v>
      </c>
      <c r="AK25" s="88">
        <f t="shared" si="3"/>
        <v>0</v>
      </c>
      <c r="AL25" s="88">
        <f t="shared" si="3"/>
        <v>0.40119760479041916</v>
      </c>
      <c r="AM25" s="88">
        <f t="shared" si="3"/>
        <v>0.59880239520958078</v>
      </c>
      <c r="AN25" s="88">
        <f t="shared" si="3"/>
        <v>0</v>
      </c>
      <c r="AO25" s="88">
        <f t="shared" si="3"/>
        <v>0</v>
      </c>
    </row>
    <row r="26" spans="1:41" s="2" customFormat="1" x14ac:dyDescent="0.25">
      <c r="A26" s="71">
        <v>11</v>
      </c>
      <c r="B26" s="80" t="s">
        <v>204</v>
      </c>
      <c r="C26" s="71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 t="shared" si="0"/>
        <v>165</v>
      </c>
      <c r="G26" s="72"/>
      <c r="H26" s="73"/>
      <c r="I26" s="73"/>
      <c r="J26" s="73"/>
      <c r="K26" s="73"/>
      <c r="L26" s="73"/>
      <c r="M26" s="73"/>
      <c r="N26" s="73"/>
      <c r="O26" s="81"/>
      <c r="P26" s="73"/>
      <c r="Q26" s="73"/>
      <c r="R26" s="73"/>
      <c r="S26" s="73"/>
      <c r="T26" s="73"/>
      <c r="U26" s="73"/>
      <c r="V26" s="73">
        <v>41</v>
      </c>
      <c r="W26" s="73">
        <v>41</v>
      </c>
      <c r="X26" s="73">
        <v>41</v>
      </c>
      <c r="Y26" s="73">
        <v>42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spans="1:41" s="2" customFormat="1" x14ac:dyDescent="0.25">
      <c r="A27" s="71"/>
      <c r="B27" s="80"/>
      <c r="C27" s="71"/>
      <c r="D27" s="71"/>
      <c r="E27" s="71"/>
      <c r="F27" s="72"/>
      <c r="G27" s="72" t="s">
        <v>224</v>
      </c>
      <c r="H27" s="88">
        <f t="shared" ref="H27:AO27" si="4">SUM(H26)/SUM($H$26:$AO$26)</f>
        <v>0</v>
      </c>
      <c r="I27" s="88">
        <f t="shared" si="4"/>
        <v>0</v>
      </c>
      <c r="J27" s="88">
        <f t="shared" si="4"/>
        <v>0</v>
      </c>
      <c r="K27" s="88">
        <f t="shared" si="4"/>
        <v>0</v>
      </c>
      <c r="L27" s="88">
        <f t="shared" si="4"/>
        <v>0</v>
      </c>
      <c r="M27" s="88">
        <f t="shared" si="4"/>
        <v>0</v>
      </c>
      <c r="N27" s="88">
        <f t="shared" si="4"/>
        <v>0</v>
      </c>
      <c r="O27" s="89">
        <f t="shared" si="4"/>
        <v>0</v>
      </c>
      <c r="P27" s="88">
        <f t="shared" si="4"/>
        <v>0</v>
      </c>
      <c r="Q27" s="88">
        <f t="shared" si="4"/>
        <v>0</v>
      </c>
      <c r="R27" s="88">
        <f t="shared" si="4"/>
        <v>0</v>
      </c>
      <c r="S27" s="88">
        <f t="shared" si="4"/>
        <v>0</v>
      </c>
      <c r="T27" s="88">
        <f t="shared" si="4"/>
        <v>0</v>
      </c>
      <c r="U27" s="88">
        <f t="shared" si="4"/>
        <v>0</v>
      </c>
      <c r="V27" s="88">
        <f t="shared" si="4"/>
        <v>0.24848484848484848</v>
      </c>
      <c r="W27" s="88">
        <f t="shared" si="4"/>
        <v>0.24848484848484848</v>
      </c>
      <c r="X27" s="88">
        <f t="shared" si="4"/>
        <v>0.24848484848484848</v>
      </c>
      <c r="Y27" s="88">
        <f t="shared" si="4"/>
        <v>0.25454545454545452</v>
      </c>
      <c r="Z27" s="88">
        <f t="shared" si="4"/>
        <v>0</v>
      </c>
      <c r="AA27" s="88">
        <f t="shared" si="4"/>
        <v>0</v>
      </c>
      <c r="AB27" s="88">
        <f t="shared" si="4"/>
        <v>0</v>
      </c>
      <c r="AC27" s="88">
        <f t="shared" si="4"/>
        <v>0</v>
      </c>
      <c r="AD27" s="88">
        <f t="shared" si="4"/>
        <v>0</v>
      </c>
      <c r="AE27" s="88">
        <f t="shared" si="4"/>
        <v>0</v>
      </c>
      <c r="AF27" s="88">
        <f t="shared" si="4"/>
        <v>0</v>
      </c>
      <c r="AG27" s="88">
        <f t="shared" si="4"/>
        <v>0</v>
      </c>
      <c r="AH27" s="88">
        <f t="shared" si="4"/>
        <v>0</v>
      </c>
      <c r="AI27" s="88">
        <f t="shared" si="4"/>
        <v>0</v>
      </c>
      <c r="AJ27" s="88">
        <f t="shared" si="4"/>
        <v>0</v>
      </c>
      <c r="AK27" s="88">
        <f t="shared" si="4"/>
        <v>0</v>
      </c>
      <c r="AL27" s="88">
        <f t="shared" si="4"/>
        <v>0</v>
      </c>
      <c r="AM27" s="88">
        <f t="shared" si="4"/>
        <v>0</v>
      </c>
      <c r="AN27" s="88">
        <f t="shared" si="4"/>
        <v>0</v>
      </c>
      <c r="AO27" s="88">
        <f t="shared" si="4"/>
        <v>0</v>
      </c>
    </row>
    <row r="28" spans="1:41" s="2" customFormat="1" x14ac:dyDescent="0.25">
      <c r="A28" s="71">
        <v>12</v>
      </c>
      <c r="B28" s="80" t="s">
        <v>205</v>
      </c>
      <c r="C28" s="71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 t="shared" ref="F28" si="5">SUM(H28:BA28)</f>
        <v>154</v>
      </c>
      <c r="G28" s="72"/>
      <c r="H28" s="73"/>
      <c r="I28" s="73"/>
      <c r="J28" s="73"/>
      <c r="K28" s="73"/>
      <c r="L28" s="73"/>
      <c r="M28" s="73"/>
      <c r="N28" s="73"/>
      <c r="O28" s="81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>
        <v>154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spans="1:41" s="2" customFormat="1" x14ac:dyDescent="0.25">
      <c r="A29" s="71"/>
      <c r="B29" s="80"/>
      <c r="C29" s="71"/>
      <c r="D29" s="71"/>
      <c r="E29" s="71"/>
      <c r="F29" s="72"/>
      <c r="G29" s="72"/>
      <c r="H29" s="73"/>
      <c r="I29" s="73"/>
      <c r="J29" s="73"/>
      <c r="K29" s="73"/>
      <c r="L29" s="73"/>
      <c r="M29" s="73"/>
      <c r="N29" s="73"/>
      <c r="O29" s="81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</row>
    <row r="30" spans="1:41" s="2" customFormat="1" x14ac:dyDescent="0.25">
      <c r="A30" s="71">
        <v>13</v>
      </c>
      <c r="B30" s="80" t="s">
        <v>206</v>
      </c>
      <c r="C30" s="71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 t="shared" ref="F30:F58" si="6">SUM(H30:BA30)</f>
        <v>176</v>
      </c>
      <c r="G30" s="72"/>
      <c r="H30" s="73"/>
      <c r="I30" s="73">
        <v>176</v>
      </c>
      <c r="J30" s="73"/>
      <c r="K30" s="73"/>
      <c r="L30" s="73"/>
      <c r="M30" s="73"/>
      <c r="N30" s="73"/>
      <c r="O30" s="81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</row>
    <row r="31" spans="1:41" s="2" customFormat="1" x14ac:dyDescent="0.25">
      <c r="A31" s="71"/>
      <c r="B31" s="80"/>
      <c r="C31" s="71"/>
      <c r="D31" s="71"/>
      <c r="E31" s="71"/>
      <c r="F31" s="72"/>
      <c r="G31" s="72"/>
      <c r="H31" s="73"/>
      <c r="I31" s="73"/>
      <c r="J31" s="73"/>
      <c r="K31" s="73"/>
      <c r="L31" s="73"/>
      <c r="M31" s="73"/>
      <c r="N31" s="73"/>
      <c r="O31" s="81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</row>
    <row r="32" spans="1:41" s="2" customFormat="1" x14ac:dyDescent="0.25">
      <c r="A32" s="71">
        <v>14</v>
      </c>
      <c r="B32" s="80" t="s">
        <v>207</v>
      </c>
      <c r="C32" s="71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 t="shared" si="6"/>
        <v>165</v>
      </c>
      <c r="G32" s="72"/>
      <c r="H32" s="73"/>
      <c r="I32" s="73"/>
      <c r="J32" s="73"/>
      <c r="K32" s="73"/>
      <c r="L32" s="73"/>
      <c r="M32" s="73"/>
      <c r="N32" s="73"/>
      <c r="O32" s="81"/>
      <c r="P32" s="73"/>
      <c r="Q32" s="73"/>
      <c r="R32" s="73"/>
      <c r="S32" s="73"/>
      <c r="T32" s="73"/>
      <c r="U32" s="73"/>
      <c r="V32" s="73">
        <v>45</v>
      </c>
      <c r="W32" s="73">
        <v>40</v>
      </c>
      <c r="X32" s="73">
        <v>40</v>
      </c>
      <c r="Y32" s="73">
        <v>40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s="2" customFormat="1" x14ac:dyDescent="0.25">
      <c r="A33" s="71"/>
      <c r="B33" s="80"/>
      <c r="C33" s="71"/>
      <c r="D33" s="71"/>
      <c r="E33" s="71"/>
      <c r="F33" s="72"/>
      <c r="G33" s="72" t="s">
        <v>224</v>
      </c>
      <c r="H33" s="88">
        <f t="shared" ref="H33:AO33" si="7">SUM(H32)/SUM($H$32:$AO$32)</f>
        <v>0</v>
      </c>
      <c r="I33" s="88">
        <f t="shared" si="7"/>
        <v>0</v>
      </c>
      <c r="J33" s="88">
        <f t="shared" si="7"/>
        <v>0</v>
      </c>
      <c r="K33" s="88">
        <f t="shared" si="7"/>
        <v>0</v>
      </c>
      <c r="L33" s="88">
        <f t="shared" si="7"/>
        <v>0</v>
      </c>
      <c r="M33" s="88">
        <f t="shared" si="7"/>
        <v>0</v>
      </c>
      <c r="N33" s="88">
        <f t="shared" si="7"/>
        <v>0</v>
      </c>
      <c r="O33" s="89">
        <f t="shared" si="7"/>
        <v>0</v>
      </c>
      <c r="P33" s="88">
        <f t="shared" si="7"/>
        <v>0</v>
      </c>
      <c r="Q33" s="88">
        <f t="shared" si="7"/>
        <v>0</v>
      </c>
      <c r="R33" s="88">
        <f t="shared" si="7"/>
        <v>0</v>
      </c>
      <c r="S33" s="88">
        <f t="shared" si="7"/>
        <v>0</v>
      </c>
      <c r="T33" s="88">
        <f t="shared" si="7"/>
        <v>0</v>
      </c>
      <c r="U33" s="88">
        <f t="shared" si="7"/>
        <v>0</v>
      </c>
      <c r="V33" s="88">
        <f t="shared" si="7"/>
        <v>0.27272727272727271</v>
      </c>
      <c r="W33" s="88">
        <f t="shared" si="7"/>
        <v>0.24242424242424243</v>
      </c>
      <c r="X33" s="88">
        <f t="shared" si="7"/>
        <v>0.24242424242424243</v>
      </c>
      <c r="Y33" s="88">
        <f t="shared" si="7"/>
        <v>0.24242424242424243</v>
      </c>
      <c r="Z33" s="88">
        <f t="shared" si="7"/>
        <v>0</v>
      </c>
      <c r="AA33" s="88">
        <f t="shared" si="7"/>
        <v>0</v>
      </c>
      <c r="AB33" s="88">
        <f t="shared" si="7"/>
        <v>0</v>
      </c>
      <c r="AC33" s="88">
        <f t="shared" si="7"/>
        <v>0</v>
      </c>
      <c r="AD33" s="88">
        <f t="shared" si="7"/>
        <v>0</v>
      </c>
      <c r="AE33" s="88">
        <f t="shared" si="7"/>
        <v>0</v>
      </c>
      <c r="AF33" s="88">
        <f t="shared" si="7"/>
        <v>0</v>
      </c>
      <c r="AG33" s="88">
        <f t="shared" si="7"/>
        <v>0</v>
      </c>
      <c r="AH33" s="88">
        <f t="shared" si="7"/>
        <v>0</v>
      </c>
      <c r="AI33" s="88">
        <f t="shared" si="7"/>
        <v>0</v>
      </c>
      <c r="AJ33" s="88">
        <f t="shared" si="7"/>
        <v>0</v>
      </c>
      <c r="AK33" s="88">
        <f t="shared" si="7"/>
        <v>0</v>
      </c>
      <c r="AL33" s="88">
        <f t="shared" si="7"/>
        <v>0</v>
      </c>
      <c r="AM33" s="88">
        <f t="shared" si="7"/>
        <v>0</v>
      </c>
      <c r="AN33" s="88">
        <f t="shared" si="7"/>
        <v>0</v>
      </c>
      <c r="AO33" s="88">
        <f t="shared" si="7"/>
        <v>0</v>
      </c>
    </row>
    <row r="34" spans="1:41" s="2" customFormat="1" x14ac:dyDescent="0.25">
      <c r="A34" s="71">
        <v>15</v>
      </c>
      <c r="B34" s="80" t="s">
        <v>208</v>
      </c>
      <c r="C34" s="71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 t="shared" si="6"/>
        <v>154</v>
      </c>
      <c r="G34" s="72"/>
      <c r="H34" s="73"/>
      <c r="I34" s="73"/>
      <c r="J34" s="73"/>
      <c r="K34" s="73"/>
      <c r="L34" s="73"/>
      <c r="M34" s="73"/>
      <c r="N34" s="73"/>
      <c r="O34" s="81"/>
      <c r="P34" s="73"/>
      <c r="Q34" s="73"/>
      <c r="R34" s="73"/>
      <c r="S34" s="73">
        <v>50</v>
      </c>
      <c r="T34" s="73">
        <v>50</v>
      </c>
      <c r="U34" s="73">
        <v>54</v>
      </c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spans="1:41" s="2" customFormat="1" x14ac:dyDescent="0.25">
      <c r="A35" s="71"/>
      <c r="B35" s="80"/>
      <c r="C35" s="71"/>
      <c r="D35" s="71"/>
      <c r="E35" s="71"/>
      <c r="F35" s="72"/>
      <c r="G35" s="72" t="s">
        <v>224</v>
      </c>
      <c r="H35" s="88">
        <f t="shared" ref="H35:AO35" si="8">SUM(H34)/SUM($H$34:$AO$34)</f>
        <v>0</v>
      </c>
      <c r="I35" s="88">
        <f t="shared" si="8"/>
        <v>0</v>
      </c>
      <c r="J35" s="88">
        <f t="shared" si="8"/>
        <v>0</v>
      </c>
      <c r="K35" s="88">
        <f t="shared" si="8"/>
        <v>0</v>
      </c>
      <c r="L35" s="88">
        <f t="shared" si="8"/>
        <v>0</v>
      </c>
      <c r="M35" s="88">
        <f t="shared" si="8"/>
        <v>0</v>
      </c>
      <c r="N35" s="88">
        <f t="shared" si="8"/>
        <v>0</v>
      </c>
      <c r="O35" s="89">
        <f t="shared" si="8"/>
        <v>0</v>
      </c>
      <c r="P35" s="88">
        <f t="shared" si="8"/>
        <v>0</v>
      </c>
      <c r="Q35" s="88">
        <f t="shared" si="8"/>
        <v>0</v>
      </c>
      <c r="R35" s="88">
        <f t="shared" si="8"/>
        <v>0</v>
      </c>
      <c r="S35" s="88">
        <f t="shared" si="8"/>
        <v>0.32467532467532467</v>
      </c>
      <c r="T35" s="88">
        <f t="shared" si="8"/>
        <v>0.32467532467532467</v>
      </c>
      <c r="U35" s="88">
        <f t="shared" si="8"/>
        <v>0.35064935064935066</v>
      </c>
      <c r="V35" s="88">
        <f t="shared" si="8"/>
        <v>0</v>
      </c>
      <c r="W35" s="88">
        <f t="shared" si="8"/>
        <v>0</v>
      </c>
      <c r="X35" s="88">
        <f t="shared" si="8"/>
        <v>0</v>
      </c>
      <c r="Y35" s="88">
        <f t="shared" si="8"/>
        <v>0</v>
      </c>
      <c r="Z35" s="88">
        <f t="shared" si="8"/>
        <v>0</v>
      </c>
      <c r="AA35" s="88">
        <f t="shared" si="8"/>
        <v>0</v>
      </c>
      <c r="AB35" s="88">
        <f t="shared" si="8"/>
        <v>0</v>
      </c>
      <c r="AC35" s="88">
        <f t="shared" si="8"/>
        <v>0</v>
      </c>
      <c r="AD35" s="88">
        <f t="shared" si="8"/>
        <v>0</v>
      </c>
      <c r="AE35" s="88">
        <f t="shared" si="8"/>
        <v>0</v>
      </c>
      <c r="AF35" s="88">
        <f t="shared" si="8"/>
        <v>0</v>
      </c>
      <c r="AG35" s="88">
        <f t="shared" si="8"/>
        <v>0</v>
      </c>
      <c r="AH35" s="88">
        <f t="shared" si="8"/>
        <v>0</v>
      </c>
      <c r="AI35" s="88">
        <f t="shared" si="8"/>
        <v>0</v>
      </c>
      <c r="AJ35" s="88">
        <f t="shared" si="8"/>
        <v>0</v>
      </c>
      <c r="AK35" s="88">
        <f t="shared" si="8"/>
        <v>0</v>
      </c>
      <c r="AL35" s="88">
        <f t="shared" si="8"/>
        <v>0</v>
      </c>
      <c r="AM35" s="88">
        <f t="shared" si="8"/>
        <v>0</v>
      </c>
      <c r="AN35" s="88">
        <f t="shared" si="8"/>
        <v>0</v>
      </c>
      <c r="AO35" s="88">
        <f t="shared" si="8"/>
        <v>0</v>
      </c>
    </row>
    <row r="36" spans="1:41" s="2" customFormat="1" x14ac:dyDescent="0.25">
      <c r="A36" s="71">
        <v>16</v>
      </c>
      <c r="B36" s="80" t="s">
        <v>209</v>
      </c>
      <c r="C36" s="71" t="e">
        <f>IF(B36&lt;&gt;0,(VLOOKUP($B36,сотрудники!$B$4:$D$217,2,0)),0)</f>
        <v>#N/A</v>
      </c>
      <c r="D36" s="71" t="e">
        <f>IF(C36&lt;&gt;0,(VLOOKUP($B36,сотрудники!$B$4:$D$217,3,0)),0)</f>
        <v>#N/A</v>
      </c>
      <c r="E36" s="71" t="e">
        <f>IF(D36&lt;&gt;0,(VLOOKUP($B36,сотрудники!$B$4:$E$217,4,0)),0)</f>
        <v>#N/A</v>
      </c>
      <c r="F36" s="72">
        <f t="shared" si="6"/>
        <v>162</v>
      </c>
      <c r="G36" s="72"/>
      <c r="H36" s="73"/>
      <c r="I36" s="73"/>
      <c r="J36" s="73"/>
      <c r="K36" s="73"/>
      <c r="L36" s="73"/>
      <c r="M36" s="73"/>
      <c r="N36" s="73"/>
      <c r="O36" s="81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>
        <v>162</v>
      </c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</row>
    <row r="37" spans="1:41" s="2" customFormat="1" x14ac:dyDescent="0.25">
      <c r="A37" s="71"/>
      <c r="B37" s="80"/>
      <c r="C37" s="71"/>
      <c r="D37" s="71"/>
      <c r="E37" s="71"/>
      <c r="F37" s="72"/>
      <c r="G37" s="72"/>
      <c r="H37" s="73"/>
      <c r="I37" s="73"/>
      <c r="J37" s="73"/>
      <c r="K37" s="73"/>
      <c r="L37" s="73"/>
      <c r="M37" s="73"/>
      <c r="N37" s="73"/>
      <c r="O37" s="81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</row>
    <row r="38" spans="1:41" s="2" customFormat="1" x14ac:dyDescent="0.25">
      <c r="A38" s="71">
        <v>17</v>
      </c>
      <c r="B38" s="80" t="s">
        <v>210</v>
      </c>
      <c r="C38" s="71" t="e">
        <f>IF(B38&lt;&gt;0,(VLOOKUP($B38,сотрудники!$B$4:$D$217,2,0)),0)</f>
        <v>#N/A</v>
      </c>
      <c r="D38" s="71" t="e">
        <f>IF(C38&lt;&gt;0,(VLOOKUP($B38,сотрудники!$B$4:$D$217,3,0)),0)</f>
        <v>#N/A</v>
      </c>
      <c r="E38" s="71" t="e">
        <f>IF(D38&lt;&gt;0,(VLOOKUP($B38,сотрудники!$B$4:$E$217,4,0)),0)</f>
        <v>#N/A</v>
      </c>
      <c r="F38" s="72">
        <f t="shared" si="6"/>
        <v>165</v>
      </c>
      <c r="G38" s="72"/>
      <c r="H38" s="73"/>
      <c r="I38" s="73"/>
      <c r="J38" s="73"/>
      <c r="K38" s="73"/>
      <c r="L38" s="73"/>
      <c r="M38" s="73"/>
      <c r="N38" s="73"/>
      <c r="O38" s="81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>
        <v>165</v>
      </c>
      <c r="AJ38" s="73"/>
      <c r="AK38" s="73"/>
      <c r="AL38" s="73"/>
      <c r="AM38" s="73"/>
      <c r="AN38" s="73"/>
      <c r="AO38" s="73"/>
    </row>
    <row r="39" spans="1:41" s="2" customFormat="1" x14ac:dyDescent="0.25">
      <c r="A39" s="71"/>
      <c r="B39" s="80"/>
      <c r="C39" s="71"/>
      <c r="D39" s="71"/>
      <c r="E39" s="71"/>
      <c r="F39" s="72"/>
      <c r="G39" s="72"/>
      <c r="H39" s="73"/>
      <c r="I39" s="73"/>
      <c r="J39" s="73"/>
      <c r="K39" s="73"/>
      <c r="L39" s="73"/>
      <c r="M39" s="73"/>
      <c r="N39" s="73"/>
      <c r="O39" s="81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</row>
    <row r="40" spans="1:41" s="2" customFormat="1" x14ac:dyDescent="0.25">
      <c r="A40" s="71">
        <v>18</v>
      </c>
      <c r="B40" s="80" t="s">
        <v>211</v>
      </c>
      <c r="C40" s="71" t="e">
        <f>IF(B40&lt;&gt;0,(VLOOKUP($B40,сотрудники!$B$4:$D$217,2,0)),0)</f>
        <v>#N/A</v>
      </c>
      <c r="D40" s="71" t="e">
        <f>IF(C40&lt;&gt;0,(VLOOKUP($B40,сотрудники!$B$4:$D$217,3,0)),0)</f>
        <v>#N/A</v>
      </c>
      <c r="E40" s="71" t="e">
        <f>IF(D40&lt;&gt;0,(VLOOKUP($B40,сотрудники!$B$4:$E$217,4,0)),0)</f>
        <v>#N/A</v>
      </c>
      <c r="F40" s="72">
        <f t="shared" si="6"/>
        <v>176</v>
      </c>
      <c r="G40" s="72"/>
      <c r="H40" s="73"/>
      <c r="I40" s="73">
        <v>176</v>
      </c>
      <c r="J40" s="73"/>
      <c r="K40" s="73"/>
      <c r="L40" s="73"/>
      <c r="M40" s="73"/>
      <c r="N40" s="73"/>
      <c r="O40" s="81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</row>
    <row r="41" spans="1:41" s="2" customFormat="1" x14ac:dyDescent="0.25">
      <c r="A41" s="71"/>
      <c r="B41" s="80"/>
      <c r="C41" s="71"/>
      <c r="D41" s="71"/>
      <c r="E41" s="71"/>
      <c r="F41" s="72"/>
      <c r="G41" s="72"/>
      <c r="H41" s="73"/>
      <c r="I41" s="73"/>
      <c r="J41" s="73"/>
      <c r="K41" s="73"/>
      <c r="L41" s="73"/>
      <c r="M41" s="73"/>
      <c r="N41" s="73"/>
      <c r="O41" s="81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s="2" customFormat="1" x14ac:dyDescent="0.25">
      <c r="A42" s="71">
        <v>19</v>
      </c>
      <c r="B42" s="80" t="s">
        <v>199</v>
      </c>
      <c r="C42" s="71" t="e">
        <f>IF(B42&lt;&gt;0,(VLOOKUP($B42,сотрудники!$B$4:$D$217,2,0)),0)</f>
        <v>#N/A</v>
      </c>
      <c r="D42" s="71" t="e">
        <f>IF(C42&lt;&gt;0,(VLOOKUP($B42,сотрудники!$B$4:$D$217,3,0)),0)</f>
        <v>#N/A</v>
      </c>
      <c r="E42" s="71" t="e">
        <f>IF(D42&lt;&gt;0,(VLOOKUP($B42,сотрудники!$B$4:$E$217,4,0)),0)</f>
        <v>#N/A</v>
      </c>
      <c r="F42" s="72">
        <f t="shared" si="6"/>
        <v>154</v>
      </c>
      <c r="G42" s="72"/>
      <c r="H42" s="73"/>
      <c r="I42" s="73"/>
      <c r="J42" s="73"/>
      <c r="K42" s="73"/>
      <c r="L42" s="73"/>
      <c r="M42" s="73"/>
      <c r="N42" s="73"/>
      <c r="O42" s="81"/>
      <c r="P42" s="73"/>
      <c r="Q42" s="73"/>
      <c r="R42" s="73"/>
      <c r="S42" s="73">
        <v>54</v>
      </c>
      <c r="T42" s="73">
        <v>50</v>
      </c>
      <c r="U42" s="73">
        <v>50</v>
      </c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</row>
    <row r="43" spans="1:41" s="2" customFormat="1" x14ac:dyDescent="0.25">
      <c r="A43" s="71"/>
      <c r="B43" s="80"/>
      <c r="C43" s="71"/>
      <c r="D43" s="71"/>
      <c r="E43" s="71"/>
      <c r="F43" s="72"/>
      <c r="G43" s="72" t="s">
        <v>224</v>
      </c>
      <c r="H43" s="88">
        <f t="shared" ref="H43:AO43" si="9">SUM(H42)/SUM($H$42:$AO$42)</f>
        <v>0</v>
      </c>
      <c r="I43" s="88">
        <f t="shared" si="9"/>
        <v>0</v>
      </c>
      <c r="J43" s="88">
        <f t="shared" si="9"/>
        <v>0</v>
      </c>
      <c r="K43" s="88">
        <f t="shared" si="9"/>
        <v>0</v>
      </c>
      <c r="L43" s="88">
        <f t="shared" si="9"/>
        <v>0</v>
      </c>
      <c r="M43" s="88">
        <f t="shared" si="9"/>
        <v>0</v>
      </c>
      <c r="N43" s="88">
        <f t="shared" si="9"/>
        <v>0</v>
      </c>
      <c r="O43" s="89">
        <f t="shared" si="9"/>
        <v>0</v>
      </c>
      <c r="P43" s="88">
        <f t="shared" si="9"/>
        <v>0</v>
      </c>
      <c r="Q43" s="88">
        <f t="shared" si="9"/>
        <v>0</v>
      </c>
      <c r="R43" s="88">
        <f t="shared" si="9"/>
        <v>0</v>
      </c>
      <c r="S43" s="88">
        <f t="shared" si="9"/>
        <v>0.35064935064935066</v>
      </c>
      <c r="T43" s="88">
        <f t="shared" si="9"/>
        <v>0.32467532467532467</v>
      </c>
      <c r="U43" s="88">
        <f t="shared" si="9"/>
        <v>0.32467532467532467</v>
      </c>
      <c r="V43" s="88">
        <f t="shared" si="9"/>
        <v>0</v>
      </c>
      <c r="W43" s="88">
        <f t="shared" si="9"/>
        <v>0</v>
      </c>
      <c r="X43" s="88">
        <f t="shared" si="9"/>
        <v>0</v>
      </c>
      <c r="Y43" s="88">
        <f t="shared" si="9"/>
        <v>0</v>
      </c>
      <c r="Z43" s="88">
        <f t="shared" si="9"/>
        <v>0</v>
      </c>
      <c r="AA43" s="88">
        <f t="shared" si="9"/>
        <v>0</v>
      </c>
      <c r="AB43" s="88">
        <f t="shared" si="9"/>
        <v>0</v>
      </c>
      <c r="AC43" s="88">
        <f t="shared" si="9"/>
        <v>0</v>
      </c>
      <c r="AD43" s="88">
        <f t="shared" si="9"/>
        <v>0</v>
      </c>
      <c r="AE43" s="88">
        <f t="shared" si="9"/>
        <v>0</v>
      </c>
      <c r="AF43" s="88">
        <f t="shared" si="9"/>
        <v>0</v>
      </c>
      <c r="AG43" s="88">
        <f t="shared" si="9"/>
        <v>0</v>
      </c>
      <c r="AH43" s="88">
        <f t="shared" si="9"/>
        <v>0</v>
      </c>
      <c r="AI43" s="88">
        <f t="shared" si="9"/>
        <v>0</v>
      </c>
      <c r="AJ43" s="88">
        <f t="shared" si="9"/>
        <v>0</v>
      </c>
      <c r="AK43" s="88">
        <f t="shared" si="9"/>
        <v>0</v>
      </c>
      <c r="AL43" s="88">
        <f t="shared" si="9"/>
        <v>0</v>
      </c>
      <c r="AM43" s="88">
        <f t="shared" si="9"/>
        <v>0</v>
      </c>
      <c r="AN43" s="88">
        <f t="shared" si="9"/>
        <v>0</v>
      </c>
      <c r="AO43" s="88">
        <f t="shared" si="9"/>
        <v>0</v>
      </c>
    </row>
    <row r="44" spans="1:41" s="2" customFormat="1" x14ac:dyDescent="0.25">
      <c r="A44" s="71">
        <v>20</v>
      </c>
      <c r="B44" s="80" t="s">
        <v>212</v>
      </c>
      <c r="C44" s="71" t="e">
        <f>IF(B44&lt;&gt;0,(VLOOKUP($B44,сотрудники!$B$4:$D$217,2,0)),0)</f>
        <v>#N/A</v>
      </c>
      <c r="D44" s="71" t="e">
        <f>IF(C44&lt;&gt;0,(VLOOKUP($B44,сотрудники!$B$4:$D$217,3,0)),0)</f>
        <v>#N/A</v>
      </c>
      <c r="E44" s="71" t="e">
        <f>IF(D44&lt;&gt;0,(VLOOKUP($B44,сотрудники!$B$4:$E$217,4,0)),0)</f>
        <v>#N/A</v>
      </c>
      <c r="F44" s="72">
        <f t="shared" si="6"/>
        <v>165</v>
      </c>
      <c r="G44" s="72"/>
      <c r="H44" s="73">
        <v>165</v>
      </c>
      <c r="I44" s="73"/>
      <c r="J44" s="73"/>
      <c r="K44" s="73"/>
      <c r="L44" s="73"/>
      <c r="M44" s="73"/>
      <c r="N44" s="73"/>
      <c r="O44" s="81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</row>
    <row r="45" spans="1:41" s="2" customFormat="1" x14ac:dyDescent="0.25">
      <c r="A45" s="71"/>
      <c r="B45" s="80"/>
      <c r="C45" s="71"/>
      <c r="D45" s="71"/>
      <c r="E45" s="71"/>
      <c r="F45" s="72"/>
      <c r="G45" s="72"/>
      <c r="H45" s="73"/>
      <c r="I45" s="73"/>
      <c r="J45" s="73"/>
      <c r="K45" s="73"/>
      <c r="L45" s="73"/>
      <c r="M45" s="73"/>
      <c r="N45" s="73"/>
      <c r="O45" s="81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</row>
    <row r="46" spans="1:41" s="2" customFormat="1" x14ac:dyDescent="0.25">
      <c r="A46" s="71">
        <v>21</v>
      </c>
      <c r="B46" s="80" t="s">
        <v>213</v>
      </c>
      <c r="C46" s="71" t="e">
        <f>IF(B46&lt;&gt;0,(VLOOKUP($B46,сотрудники!$B$4:$D$217,2,0)),0)</f>
        <v>#N/A</v>
      </c>
      <c r="D46" s="71" t="e">
        <f>IF(C46&lt;&gt;0,(VLOOKUP($B46,сотрудники!$B$4:$D$217,3,0)),0)</f>
        <v>#N/A</v>
      </c>
      <c r="E46" s="71" t="e">
        <f>IF(D46&lt;&gt;0,(VLOOKUP($B46,сотрудники!$B$4:$E$217,4,0)),0)</f>
        <v>#N/A</v>
      </c>
      <c r="F46" s="72">
        <f t="shared" si="6"/>
        <v>176</v>
      </c>
      <c r="G46" s="72"/>
      <c r="H46" s="73"/>
      <c r="I46" s="73"/>
      <c r="J46" s="73"/>
      <c r="K46" s="73"/>
      <c r="L46" s="73"/>
      <c r="M46" s="73"/>
      <c r="N46" s="73"/>
      <c r="O46" s="81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>
        <v>76</v>
      </c>
      <c r="AM46" s="73">
        <v>100</v>
      </c>
      <c r="AN46" s="73"/>
      <c r="AO46" s="73"/>
    </row>
    <row r="47" spans="1:41" s="2" customFormat="1" x14ac:dyDescent="0.25">
      <c r="A47" s="71"/>
      <c r="B47" s="80"/>
      <c r="C47" s="71"/>
      <c r="D47" s="71"/>
      <c r="E47" s="71"/>
      <c r="F47" s="72"/>
      <c r="G47" s="72" t="s">
        <v>224</v>
      </c>
      <c r="H47" s="88">
        <f t="shared" ref="H47:AO47" si="10">SUM(H46)/SUM($H$46:$AO$46)</f>
        <v>0</v>
      </c>
      <c r="I47" s="88">
        <f t="shared" si="10"/>
        <v>0</v>
      </c>
      <c r="J47" s="88">
        <f t="shared" si="10"/>
        <v>0</v>
      </c>
      <c r="K47" s="88">
        <f t="shared" si="10"/>
        <v>0</v>
      </c>
      <c r="L47" s="88">
        <f t="shared" si="10"/>
        <v>0</v>
      </c>
      <c r="M47" s="88">
        <f t="shared" si="10"/>
        <v>0</v>
      </c>
      <c r="N47" s="88">
        <f t="shared" si="10"/>
        <v>0</v>
      </c>
      <c r="O47" s="89">
        <f t="shared" si="10"/>
        <v>0</v>
      </c>
      <c r="P47" s="88">
        <f t="shared" si="10"/>
        <v>0</v>
      </c>
      <c r="Q47" s="88">
        <f t="shared" si="10"/>
        <v>0</v>
      </c>
      <c r="R47" s="88">
        <f t="shared" si="10"/>
        <v>0</v>
      </c>
      <c r="S47" s="88">
        <f t="shared" si="10"/>
        <v>0</v>
      </c>
      <c r="T47" s="88">
        <f t="shared" si="10"/>
        <v>0</v>
      </c>
      <c r="U47" s="88">
        <f t="shared" si="10"/>
        <v>0</v>
      </c>
      <c r="V47" s="88">
        <f t="shared" si="10"/>
        <v>0</v>
      </c>
      <c r="W47" s="88">
        <f t="shared" si="10"/>
        <v>0</v>
      </c>
      <c r="X47" s="88">
        <f t="shared" si="10"/>
        <v>0</v>
      </c>
      <c r="Y47" s="88">
        <f t="shared" si="10"/>
        <v>0</v>
      </c>
      <c r="Z47" s="88">
        <f t="shared" si="10"/>
        <v>0</v>
      </c>
      <c r="AA47" s="88">
        <f t="shared" si="10"/>
        <v>0</v>
      </c>
      <c r="AB47" s="88">
        <f t="shared" si="10"/>
        <v>0</v>
      </c>
      <c r="AC47" s="88">
        <f t="shared" si="10"/>
        <v>0</v>
      </c>
      <c r="AD47" s="88">
        <f t="shared" si="10"/>
        <v>0</v>
      </c>
      <c r="AE47" s="88">
        <f t="shared" si="10"/>
        <v>0</v>
      </c>
      <c r="AF47" s="88">
        <f t="shared" si="10"/>
        <v>0</v>
      </c>
      <c r="AG47" s="88">
        <f t="shared" si="10"/>
        <v>0</v>
      </c>
      <c r="AH47" s="88">
        <f t="shared" si="10"/>
        <v>0</v>
      </c>
      <c r="AI47" s="88">
        <f t="shared" si="10"/>
        <v>0</v>
      </c>
      <c r="AJ47" s="88">
        <f t="shared" si="10"/>
        <v>0</v>
      </c>
      <c r="AK47" s="88">
        <f t="shared" si="10"/>
        <v>0</v>
      </c>
      <c r="AL47" s="88">
        <f t="shared" si="10"/>
        <v>0.43181818181818182</v>
      </c>
      <c r="AM47" s="88">
        <f t="shared" si="10"/>
        <v>0.56818181818181823</v>
      </c>
      <c r="AN47" s="88">
        <f t="shared" si="10"/>
        <v>0</v>
      </c>
      <c r="AO47" s="88">
        <f t="shared" si="10"/>
        <v>0</v>
      </c>
    </row>
    <row r="48" spans="1:41" s="2" customFormat="1" x14ac:dyDescent="0.25">
      <c r="A48" s="71">
        <v>22</v>
      </c>
      <c r="B48" s="80" t="s">
        <v>214</v>
      </c>
      <c r="C48" s="71" t="e">
        <f>IF(B48&lt;&gt;0,(VLOOKUP($B48,сотрудники!$B$4:$D$217,2,0)),0)</f>
        <v>#N/A</v>
      </c>
      <c r="D48" s="71" t="e">
        <f>IF(C48&lt;&gt;0,(VLOOKUP($B48,сотрудники!$B$4:$D$217,3,0)),0)</f>
        <v>#N/A</v>
      </c>
      <c r="E48" s="71" t="e">
        <f>IF(D48&lt;&gt;0,(VLOOKUP($B48,сотрудники!$B$4:$E$217,4,0)),0)</f>
        <v>#N/A</v>
      </c>
      <c r="F48" s="72">
        <f t="shared" si="6"/>
        <v>167</v>
      </c>
      <c r="G48" s="72"/>
      <c r="H48" s="73"/>
      <c r="I48" s="73"/>
      <c r="J48" s="73">
        <v>87</v>
      </c>
      <c r="K48" s="73"/>
      <c r="L48" s="73"/>
      <c r="M48" s="73"/>
      <c r="N48" s="73"/>
      <c r="O48" s="81"/>
      <c r="P48" s="73">
        <v>80</v>
      </c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</row>
    <row r="49" spans="1:41" s="2" customFormat="1" x14ac:dyDescent="0.25">
      <c r="A49" s="71"/>
      <c r="B49" s="80"/>
      <c r="C49" s="71"/>
      <c r="D49" s="71"/>
      <c r="E49" s="71"/>
      <c r="F49" s="72"/>
      <c r="G49" s="72" t="s">
        <v>224</v>
      </c>
      <c r="H49" s="88">
        <f t="shared" ref="H49:AO49" si="11">SUM(H48)/SUM($H$48:$AO$48)</f>
        <v>0</v>
      </c>
      <c r="I49" s="88">
        <f t="shared" si="11"/>
        <v>0</v>
      </c>
      <c r="J49" s="88">
        <f t="shared" si="11"/>
        <v>0.52095808383233533</v>
      </c>
      <c r="K49" s="88">
        <f t="shared" si="11"/>
        <v>0</v>
      </c>
      <c r="L49" s="88">
        <f t="shared" si="11"/>
        <v>0</v>
      </c>
      <c r="M49" s="88">
        <f t="shared" si="11"/>
        <v>0</v>
      </c>
      <c r="N49" s="88">
        <f t="shared" si="11"/>
        <v>0</v>
      </c>
      <c r="O49" s="89">
        <f t="shared" si="11"/>
        <v>0</v>
      </c>
      <c r="P49" s="88">
        <f t="shared" si="11"/>
        <v>0.47904191616766467</v>
      </c>
      <c r="Q49" s="88">
        <f t="shared" si="11"/>
        <v>0</v>
      </c>
      <c r="R49" s="88">
        <f t="shared" si="11"/>
        <v>0</v>
      </c>
      <c r="S49" s="88">
        <f t="shared" si="11"/>
        <v>0</v>
      </c>
      <c r="T49" s="88">
        <f t="shared" si="11"/>
        <v>0</v>
      </c>
      <c r="U49" s="88">
        <f t="shared" si="11"/>
        <v>0</v>
      </c>
      <c r="V49" s="88">
        <f t="shared" si="11"/>
        <v>0</v>
      </c>
      <c r="W49" s="88">
        <f t="shared" si="11"/>
        <v>0</v>
      </c>
      <c r="X49" s="88">
        <f t="shared" si="11"/>
        <v>0</v>
      </c>
      <c r="Y49" s="88">
        <f t="shared" si="11"/>
        <v>0</v>
      </c>
      <c r="Z49" s="88">
        <f t="shared" si="11"/>
        <v>0</v>
      </c>
      <c r="AA49" s="88">
        <f t="shared" si="11"/>
        <v>0</v>
      </c>
      <c r="AB49" s="88">
        <f t="shared" si="11"/>
        <v>0</v>
      </c>
      <c r="AC49" s="88">
        <f t="shared" si="11"/>
        <v>0</v>
      </c>
      <c r="AD49" s="88">
        <f t="shared" si="11"/>
        <v>0</v>
      </c>
      <c r="AE49" s="88">
        <f t="shared" si="11"/>
        <v>0</v>
      </c>
      <c r="AF49" s="88">
        <f t="shared" si="11"/>
        <v>0</v>
      </c>
      <c r="AG49" s="88">
        <f t="shared" si="11"/>
        <v>0</v>
      </c>
      <c r="AH49" s="88">
        <f t="shared" si="11"/>
        <v>0</v>
      </c>
      <c r="AI49" s="88">
        <f t="shared" si="11"/>
        <v>0</v>
      </c>
      <c r="AJ49" s="88">
        <f t="shared" si="11"/>
        <v>0</v>
      </c>
      <c r="AK49" s="88">
        <f t="shared" si="11"/>
        <v>0</v>
      </c>
      <c r="AL49" s="88">
        <f t="shared" si="11"/>
        <v>0</v>
      </c>
      <c r="AM49" s="88">
        <f t="shared" si="11"/>
        <v>0</v>
      </c>
      <c r="AN49" s="88">
        <f t="shared" si="11"/>
        <v>0</v>
      </c>
      <c r="AO49" s="88">
        <f t="shared" si="11"/>
        <v>0</v>
      </c>
    </row>
    <row r="50" spans="1:41" s="2" customFormat="1" x14ac:dyDescent="0.25">
      <c r="A50" s="71">
        <v>23</v>
      </c>
      <c r="B50" s="80" t="s">
        <v>215</v>
      </c>
      <c r="C50" s="71" t="e">
        <f>IF(B50&lt;&gt;0,(VLOOKUP($B50,сотрудники!$B$4:$D$217,2,0)),0)</f>
        <v>#N/A</v>
      </c>
      <c r="D50" s="71" t="e">
        <f>IF(C50&lt;&gt;0,(VLOOKUP($B50,сотрудники!$B$4:$D$217,3,0)),0)</f>
        <v>#N/A</v>
      </c>
      <c r="E50" s="71" t="e">
        <f>IF(D50&lt;&gt;0,(VLOOKUP($B50,сотрудники!$B$4:$E$217,4,0)),0)</f>
        <v>#N/A</v>
      </c>
      <c r="F50" s="72">
        <f t="shared" si="6"/>
        <v>167</v>
      </c>
      <c r="G50" s="72"/>
      <c r="H50" s="73"/>
      <c r="I50" s="73"/>
      <c r="J50" s="73"/>
      <c r="K50" s="73"/>
      <c r="L50" s="73"/>
      <c r="M50" s="73"/>
      <c r="N50" s="73"/>
      <c r="O50" s="81"/>
      <c r="P50" s="73">
        <v>167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</row>
    <row r="51" spans="1:41" s="2" customFormat="1" x14ac:dyDescent="0.25">
      <c r="A51" s="71"/>
      <c r="B51" s="80"/>
      <c r="C51" s="71"/>
      <c r="D51" s="71"/>
      <c r="E51" s="71"/>
      <c r="F51" s="72"/>
      <c r="G51" s="72"/>
      <c r="H51" s="73"/>
      <c r="I51" s="73"/>
      <c r="J51" s="73"/>
      <c r="K51" s="73"/>
      <c r="L51" s="73"/>
      <c r="M51" s="73"/>
      <c r="N51" s="73"/>
      <c r="O51" s="81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</row>
    <row r="52" spans="1:41" s="2" customFormat="1" x14ac:dyDescent="0.25">
      <c r="A52" s="71">
        <v>24</v>
      </c>
      <c r="B52" s="80" t="s">
        <v>216</v>
      </c>
      <c r="C52" s="71" t="e">
        <f>IF(B52&lt;&gt;0,(VLOOKUP($B52,сотрудники!$B$4:$D$217,2,0)),0)</f>
        <v>#N/A</v>
      </c>
      <c r="D52" s="71" t="e">
        <f>IF(C52&lt;&gt;0,(VLOOKUP($B52,сотрудники!$B$4:$D$217,3,0)),0)</f>
        <v>#N/A</v>
      </c>
      <c r="E52" s="71" t="e">
        <f>IF(D52&lt;&gt;0,(VLOOKUP($B52,сотрудники!$B$4:$E$217,4,0)),0)</f>
        <v>#N/A</v>
      </c>
      <c r="F52" s="72">
        <f t="shared" si="6"/>
        <v>39</v>
      </c>
      <c r="G52" s="72"/>
      <c r="H52" s="73"/>
      <c r="I52" s="73"/>
      <c r="J52" s="73"/>
      <c r="K52" s="73"/>
      <c r="L52" s="73"/>
      <c r="M52" s="73"/>
      <c r="N52" s="73"/>
      <c r="O52" s="81"/>
      <c r="P52" s="73"/>
      <c r="Q52" s="73"/>
      <c r="R52" s="73"/>
      <c r="S52" s="73"/>
      <c r="T52" s="73"/>
      <c r="U52" s="73"/>
      <c r="V52" s="73">
        <v>9</v>
      </c>
      <c r="W52" s="73">
        <v>10</v>
      </c>
      <c r="X52" s="73">
        <v>10</v>
      </c>
      <c r="Y52" s="73">
        <v>10</v>
      </c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</row>
    <row r="53" spans="1:41" s="2" customFormat="1" x14ac:dyDescent="0.25">
      <c r="A53" s="71"/>
      <c r="B53" s="80"/>
      <c r="C53" s="71"/>
      <c r="D53" s="71"/>
      <c r="E53" s="71"/>
      <c r="F53" s="72"/>
      <c r="G53" s="72" t="s">
        <v>224</v>
      </c>
      <c r="H53" s="88">
        <f t="shared" ref="H53:AO53" si="12">SUM(H52)/SUM($H$52:$AO$52)</f>
        <v>0</v>
      </c>
      <c r="I53" s="88">
        <f t="shared" si="12"/>
        <v>0</v>
      </c>
      <c r="J53" s="88">
        <f t="shared" si="12"/>
        <v>0</v>
      </c>
      <c r="K53" s="88">
        <f t="shared" si="12"/>
        <v>0</v>
      </c>
      <c r="L53" s="88">
        <f t="shared" si="12"/>
        <v>0</v>
      </c>
      <c r="M53" s="88">
        <f t="shared" si="12"/>
        <v>0</v>
      </c>
      <c r="N53" s="88">
        <f t="shared" si="12"/>
        <v>0</v>
      </c>
      <c r="O53" s="89">
        <f t="shared" si="12"/>
        <v>0</v>
      </c>
      <c r="P53" s="88">
        <f t="shared" si="12"/>
        <v>0</v>
      </c>
      <c r="Q53" s="88">
        <f t="shared" si="12"/>
        <v>0</v>
      </c>
      <c r="R53" s="88">
        <f t="shared" si="12"/>
        <v>0</v>
      </c>
      <c r="S53" s="88">
        <f t="shared" si="12"/>
        <v>0</v>
      </c>
      <c r="T53" s="88">
        <f t="shared" si="12"/>
        <v>0</v>
      </c>
      <c r="U53" s="88">
        <f t="shared" si="12"/>
        <v>0</v>
      </c>
      <c r="V53" s="88">
        <f t="shared" si="12"/>
        <v>0.23076923076923078</v>
      </c>
      <c r="W53" s="88">
        <f t="shared" si="12"/>
        <v>0.25641025641025639</v>
      </c>
      <c r="X53" s="88">
        <f t="shared" si="12"/>
        <v>0.25641025641025639</v>
      </c>
      <c r="Y53" s="88">
        <f t="shared" si="12"/>
        <v>0.25641025641025639</v>
      </c>
      <c r="Z53" s="88">
        <f t="shared" si="12"/>
        <v>0</v>
      </c>
      <c r="AA53" s="88">
        <f t="shared" si="12"/>
        <v>0</v>
      </c>
      <c r="AB53" s="88">
        <f t="shared" si="12"/>
        <v>0</v>
      </c>
      <c r="AC53" s="88">
        <f t="shared" si="12"/>
        <v>0</v>
      </c>
      <c r="AD53" s="88">
        <f t="shared" si="12"/>
        <v>0</v>
      </c>
      <c r="AE53" s="88">
        <f t="shared" si="12"/>
        <v>0</v>
      </c>
      <c r="AF53" s="88">
        <f t="shared" si="12"/>
        <v>0</v>
      </c>
      <c r="AG53" s="88">
        <f t="shared" si="12"/>
        <v>0</v>
      </c>
      <c r="AH53" s="88">
        <f t="shared" si="12"/>
        <v>0</v>
      </c>
      <c r="AI53" s="88">
        <f t="shared" si="12"/>
        <v>0</v>
      </c>
      <c r="AJ53" s="88">
        <f t="shared" si="12"/>
        <v>0</v>
      </c>
      <c r="AK53" s="88">
        <f t="shared" si="12"/>
        <v>0</v>
      </c>
      <c r="AL53" s="88">
        <f t="shared" si="12"/>
        <v>0</v>
      </c>
      <c r="AM53" s="88">
        <f t="shared" si="12"/>
        <v>0</v>
      </c>
      <c r="AN53" s="88">
        <f t="shared" si="12"/>
        <v>0</v>
      </c>
      <c r="AO53" s="88">
        <f t="shared" si="12"/>
        <v>0</v>
      </c>
    </row>
    <row r="54" spans="1:41" s="2" customFormat="1" x14ac:dyDescent="0.25">
      <c r="A54" s="71">
        <v>25</v>
      </c>
      <c r="B54" s="80" t="s">
        <v>217</v>
      </c>
      <c r="C54" s="71" t="e">
        <f>IF(B54&lt;&gt;0,(VLOOKUP($B54,сотрудники!$B$4:$D$217,2,0)),0)</f>
        <v>#N/A</v>
      </c>
      <c r="D54" s="71" t="e">
        <f>IF(C54&lt;&gt;0,(VLOOKUP($B54,сотрудники!$B$4:$D$217,3,0)),0)</f>
        <v>#N/A</v>
      </c>
      <c r="E54" s="71" t="e">
        <f>IF(D54&lt;&gt;0,(VLOOKUP($B54,сотрудники!$B$4:$E$217,4,0)),0)</f>
        <v>#N/A</v>
      </c>
      <c r="F54" s="72">
        <f t="shared" si="6"/>
        <v>154</v>
      </c>
      <c r="G54" s="72"/>
      <c r="H54" s="73"/>
      <c r="I54" s="73"/>
      <c r="J54" s="73">
        <v>154</v>
      </c>
      <c r="K54" s="73"/>
      <c r="L54" s="73"/>
      <c r="M54" s="73"/>
      <c r="N54" s="73"/>
      <c r="O54" s="81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s="2" customFormat="1" x14ac:dyDescent="0.25">
      <c r="A55" s="71"/>
      <c r="B55" s="80"/>
      <c r="C55" s="71"/>
      <c r="D55" s="71"/>
      <c r="E55" s="71"/>
      <c r="F55" s="72"/>
      <c r="G55" s="72"/>
      <c r="H55" s="73"/>
      <c r="I55" s="73"/>
      <c r="J55" s="73"/>
      <c r="K55" s="73"/>
      <c r="L55" s="73"/>
      <c r="M55" s="73"/>
      <c r="N55" s="73"/>
      <c r="O55" s="81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</row>
    <row r="56" spans="1:41" s="2" customFormat="1" x14ac:dyDescent="0.25">
      <c r="A56" s="71">
        <v>26</v>
      </c>
      <c r="B56" s="80" t="s">
        <v>218</v>
      </c>
      <c r="C56" s="71" t="e">
        <f>IF(B56&lt;&gt;0,(VLOOKUP($B56,сотрудники!$B$4:$D$217,2,0)),0)</f>
        <v>#N/A</v>
      </c>
      <c r="D56" s="71" t="e">
        <f>IF(C56&lt;&gt;0,(VLOOKUP($B56,сотрудники!$B$4:$D$217,3,0)),0)</f>
        <v>#N/A</v>
      </c>
      <c r="E56" s="71" t="e">
        <f>IF(D56&lt;&gt;0,(VLOOKUP($B56,сотрудники!$B$4:$E$217,4,0)),0)</f>
        <v>#N/A</v>
      </c>
      <c r="F56" s="72">
        <f t="shared" si="6"/>
        <v>168</v>
      </c>
      <c r="G56" s="72"/>
      <c r="H56" s="73"/>
      <c r="I56" s="73"/>
      <c r="J56" s="73"/>
      <c r="K56" s="73"/>
      <c r="L56" s="73"/>
      <c r="M56" s="73"/>
      <c r="N56" s="73"/>
      <c r="O56" s="81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>
        <v>168</v>
      </c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</row>
    <row r="57" spans="1:41" s="2" customFormat="1" x14ac:dyDescent="0.25">
      <c r="A57" s="71"/>
      <c r="B57" s="80"/>
      <c r="C57" s="71"/>
      <c r="D57" s="71"/>
      <c r="E57" s="71"/>
      <c r="F57" s="72"/>
      <c r="G57" s="72"/>
      <c r="H57" s="73"/>
      <c r="I57" s="73"/>
      <c r="J57" s="73"/>
      <c r="K57" s="73"/>
      <c r="L57" s="73"/>
      <c r="M57" s="73"/>
      <c r="N57" s="73"/>
      <c r="O57" s="81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</row>
    <row r="58" spans="1:41" s="2" customFormat="1" x14ac:dyDescent="0.25">
      <c r="A58" s="71">
        <v>27</v>
      </c>
      <c r="B58" s="80" t="s">
        <v>219</v>
      </c>
      <c r="C58" s="71" t="e">
        <f>IF(B58&lt;&gt;0,(VLOOKUP($B58,сотрудники!$B$4:$D$217,2,0)),0)</f>
        <v>#N/A</v>
      </c>
      <c r="D58" s="71" t="e">
        <f>IF(C58&lt;&gt;0,(VLOOKUP($B58,сотрудники!$B$4:$D$217,3,0)),0)</f>
        <v>#N/A</v>
      </c>
      <c r="E58" s="71" t="e">
        <f>IF(D58&lt;&gt;0,(VLOOKUP($B58,сотрудники!$B$4:$E$217,4,0)),0)</f>
        <v>#N/A</v>
      </c>
      <c r="F58" s="72">
        <f t="shared" si="6"/>
        <v>176</v>
      </c>
      <c r="G58" s="72"/>
      <c r="H58" s="73"/>
      <c r="I58" s="73"/>
      <c r="J58" s="73"/>
      <c r="K58" s="73"/>
      <c r="L58" s="73"/>
      <c r="M58" s="73"/>
      <c r="N58" s="73"/>
      <c r="O58" s="81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>
        <v>176</v>
      </c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</row>
    <row r="59" spans="1:41" s="2" customFormat="1" x14ac:dyDescent="0.25">
      <c r="A59" s="71"/>
      <c r="B59" s="80"/>
      <c r="C59" s="71"/>
      <c r="D59" s="71"/>
      <c r="E59" s="71"/>
      <c r="F59" s="72"/>
      <c r="G59" s="72"/>
      <c r="H59" s="73"/>
      <c r="I59" s="73"/>
      <c r="J59" s="73"/>
      <c r="K59" s="73"/>
      <c r="L59" s="73"/>
      <c r="M59" s="73"/>
      <c r="N59" s="73"/>
      <c r="O59" s="81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</row>
    <row r="60" spans="1:41" x14ac:dyDescent="0.25">
      <c r="A60" s="71">
        <v>28</v>
      </c>
      <c r="B60" s="80" t="s">
        <v>222</v>
      </c>
      <c r="C60" s="71" t="e">
        <f>IF(B60&lt;&gt;0,(VLOOKUP($B60,сотрудники!$B$4:$D$217,2,0)),0)</f>
        <v>#N/A</v>
      </c>
      <c r="D60" s="71" t="e">
        <f>IF(C60&lt;&gt;0,(VLOOKUP($B60,сотрудники!$B$4:$D$217,3,0)),0)</f>
        <v>#N/A</v>
      </c>
      <c r="E60" s="71" t="e">
        <f>IF(D60&lt;&gt;0,(VLOOKUP($B60,сотрудники!$B$4:$E$217,4,0)),0)</f>
        <v>#N/A</v>
      </c>
      <c r="F60" s="72">
        <f t="shared" ref="F60" si="13">SUM(H60:BA60)</f>
        <v>165</v>
      </c>
      <c r="G60" s="72"/>
      <c r="H60" s="73">
        <v>165</v>
      </c>
      <c r="I60" s="73"/>
      <c r="J60" s="73"/>
      <c r="K60" s="73"/>
      <c r="L60" s="73"/>
      <c r="M60" s="73"/>
      <c r="N60" s="73"/>
      <c r="O60" s="81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  <row r="61" spans="1:41" x14ac:dyDescent="0.25">
      <c r="A61" s="71"/>
      <c r="B61" s="80"/>
      <c r="C61" s="71"/>
      <c r="D61" s="71"/>
      <c r="E61" s="71"/>
      <c r="F61" s="72"/>
      <c r="G61" s="72"/>
      <c r="H61" s="73"/>
      <c r="I61" s="73"/>
      <c r="J61" s="73"/>
      <c r="K61" s="73"/>
      <c r="L61" s="73"/>
      <c r="M61" s="73"/>
      <c r="N61" s="73"/>
      <c r="O61" s="81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</row>
    <row r="62" spans="1:41" x14ac:dyDescent="0.25">
      <c r="A62" s="71">
        <v>29</v>
      </c>
      <c r="B62" s="80" t="s">
        <v>223</v>
      </c>
      <c r="C62" s="71" t="e">
        <f>IF(B62&lt;&gt;0,(VLOOKUP($B62,сотрудники!$B$4:$D$217,2,0)),0)</f>
        <v>#N/A</v>
      </c>
      <c r="D62" s="71" t="e">
        <f>IF(C62&lt;&gt;0,(VLOOKUP($B62,сотрудники!$B$4:$D$217,3,0)),0)</f>
        <v>#N/A</v>
      </c>
      <c r="E62" s="71" t="e">
        <f>IF(D62&lt;&gt;0,(VLOOKUP($B62,сотрудники!$B$4:$E$217,4,0)),0)</f>
        <v>#N/A</v>
      </c>
      <c r="F62" s="72">
        <f t="shared" ref="F62" si="14">SUM(H62:BA62)</f>
        <v>165</v>
      </c>
      <c r="G62" s="72"/>
      <c r="H62" s="73"/>
      <c r="I62" s="73"/>
      <c r="J62" s="73"/>
      <c r="K62" s="73"/>
      <c r="L62" s="73"/>
      <c r="M62" s="73"/>
      <c r="N62" s="73"/>
      <c r="O62" s="81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>
        <v>165</v>
      </c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</row>
  </sheetData>
  <autoFilter ref="A4:AO58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8">
    <mergeCell ref="F4:F5"/>
    <mergeCell ref="H4:AO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BE60"/>
  <sheetViews>
    <sheetView showGridLines="0" showZeros="0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Q62" sqref="Q62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31.14062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1.85546875" style="2" customWidth="1"/>
    <col min="12" max="12" width="12.140625" style="2" hidden="1" customWidth="1"/>
    <col min="13" max="15" width="8.85546875" style="2" hidden="1" customWidth="1"/>
    <col min="16" max="16" width="12.85546875" style="2" customWidth="1"/>
    <col min="17" max="17" width="14.7109375" style="2" customWidth="1"/>
    <col min="18" max="18" width="12.7109375" style="2" customWidth="1"/>
    <col min="19" max="19" width="10.85546875" style="2" customWidth="1"/>
    <col min="20" max="20" width="10.7109375" style="2" customWidth="1"/>
    <col min="21" max="21" width="11.42578125" style="2" customWidth="1"/>
    <col min="22" max="22" width="10.7109375" style="2" customWidth="1"/>
    <col min="23" max="26" width="8.85546875" style="2" customWidth="1"/>
    <col min="27" max="27" width="8.85546875" style="2" hidden="1" customWidth="1"/>
    <col min="28" max="28" width="12.140625" style="2" hidden="1" customWidth="1"/>
    <col min="29" max="29" width="12.7109375" style="2" hidden="1" customWidth="1"/>
    <col min="30" max="30" width="9.7109375" style="2" hidden="1" customWidth="1"/>
    <col min="31" max="31" width="10.28515625" style="2" hidden="1" customWidth="1"/>
    <col min="32" max="33" width="8.85546875" style="2" hidden="1" customWidth="1"/>
    <col min="34" max="34" width="0" style="2" hidden="1" customWidth="1"/>
    <col min="35" max="38" width="8.85546875" style="2"/>
    <col min="39" max="39" width="10.85546875" style="2" customWidth="1"/>
    <col min="40" max="57" width="8.85546875" style="2"/>
    <col min="58" max="16384" width="8.85546875" style="1"/>
  </cols>
  <sheetData>
    <row r="1" spans="1:41" ht="18.75" x14ac:dyDescent="0.3">
      <c r="A1" s="121" t="s">
        <v>180</v>
      </c>
      <c r="B1" s="121"/>
      <c r="C1" s="121"/>
      <c r="D1" s="121"/>
      <c r="E1" s="8" t="s">
        <v>107</v>
      </c>
      <c r="F1" s="9" t="s">
        <v>123</v>
      </c>
      <c r="G1" s="9"/>
    </row>
    <row r="2" spans="1:41" x14ac:dyDescent="0.25">
      <c r="C2" s="2"/>
    </row>
    <row r="3" spans="1:41" x14ac:dyDescent="0.25">
      <c r="C3" s="2"/>
    </row>
    <row r="4" spans="1:41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85"/>
      <c r="H4" s="137" t="s">
        <v>15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</row>
    <row r="5" spans="1:41" s="3" customFormat="1" ht="51" customHeight="1" x14ac:dyDescent="0.25">
      <c r="A5" s="134"/>
      <c r="B5" s="134"/>
      <c r="C5" s="134"/>
      <c r="D5" s="134"/>
      <c r="E5" s="134"/>
      <c r="F5" s="136"/>
      <c r="G5" s="86"/>
      <c r="H5" s="6" t="s">
        <v>16</v>
      </c>
      <c r="I5" s="6" t="s">
        <v>17</v>
      </c>
      <c r="J5" s="6" t="s">
        <v>87</v>
      </c>
      <c r="K5" s="6" t="s">
        <v>88</v>
      </c>
      <c r="L5" s="6" t="s">
        <v>90</v>
      </c>
      <c r="M5" s="6" t="s">
        <v>3</v>
      </c>
      <c r="N5" s="6" t="s">
        <v>4</v>
      </c>
      <c r="O5" s="6" t="s">
        <v>175</v>
      </c>
      <c r="P5" s="6" t="s">
        <v>176</v>
      </c>
      <c r="Q5" s="6" t="s">
        <v>177</v>
      </c>
      <c r="R5" s="6" t="s">
        <v>178</v>
      </c>
      <c r="S5" s="6" t="s">
        <v>91</v>
      </c>
      <c r="T5" s="6" t="s">
        <v>18</v>
      </c>
      <c r="U5" s="6" t="s">
        <v>19</v>
      </c>
      <c r="V5" s="6" t="s">
        <v>20</v>
      </c>
      <c r="W5" s="6" t="s">
        <v>7</v>
      </c>
      <c r="X5" s="6" t="s">
        <v>8</v>
      </c>
      <c r="Y5" s="6" t="s">
        <v>9</v>
      </c>
      <c r="Z5" s="6" t="s">
        <v>10</v>
      </c>
      <c r="AA5" s="6" t="s">
        <v>21</v>
      </c>
      <c r="AB5" s="6" t="s">
        <v>11</v>
      </c>
      <c r="AC5" s="6" t="s">
        <v>12</v>
      </c>
      <c r="AD5" s="6" t="s">
        <v>22</v>
      </c>
      <c r="AE5" s="6" t="s">
        <v>23</v>
      </c>
      <c r="AF5" s="6" t="s">
        <v>24</v>
      </c>
      <c r="AG5" s="6" t="s">
        <v>14</v>
      </c>
      <c r="AH5" s="6" t="s">
        <v>13</v>
      </c>
      <c r="AI5" s="6" t="s">
        <v>27</v>
      </c>
      <c r="AJ5" s="6" t="s">
        <v>28</v>
      </c>
      <c r="AK5" s="6" t="s">
        <v>29</v>
      </c>
      <c r="AL5" s="6" t="s">
        <v>30</v>
      </c>
      <c r="AM5" s="6" t="s">
        <v>31</v>
      </c>
      <c r="AN5" s="6" t="s">
        <v>32</v>
      </c>
      <c r="AO5" s="6" t="s">
        <v>33</v>
      </c>
    </row>
    <row r="6" spans="1:41" x14ac:dyDescent="0.25">
      <c r="A6" s="71">
        <v>1</v>
      </c>
      <c r="B6" s="80" t="s">
        <v>193</v>
      </c>
      <c r="C6" s="90" t="e">
        <f>IF(B6&lt;&gt;0,(VLOOKUP($B6,сотрудники!$B$4:$D$217,2,0)),0)</f>
        <v>#N/A</v>
      </c>
      <c r="D6" s="71" t="e">
        <f>IF(C6&lt;&gt;0,(VLOOKUP($B6,сотрудники!$B$4:$D$217,3,0)),0)</f>
        <v>#N/A</v>
      </c>
      <c r="E6" s="71" t="e">
        <f>IF(D6&lt;&gt;0,(VLOOKUP($B6,сотрудники!$B$4:$E$217,4,0)),0)</f>
        <v>#N/A</v>
      </c>
      <c r="F6" s="72">
        <f>SUM(G6:AO6)</f>
        <v>88</v>
      </c>
      <c r="G6" s="72"/>
      <c r="H6" s="73"/>
      <c r="I6" s="73"/>
      <c r="J6" s="73"/>
      <c r="K6" s="73"/>
      <c r="L6" s="73"/>
      <c r="M6" s="73"/>
      <c r="N6" s="73"/>
      <c r="O6" s="81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>
        <v>88</v>
      </c>
      <c r="AJ6" s="73"/>
      <c r="AK6" s="73"/>
      <c r="AL6" s="73"/>
      <c r="AM6" s="73"/>
      <c r="AN6" s="73"/>
      <c r="AO6" s="73"/>
    </row>
    <row r="7" spans="1:41" x14ac:dyDescent="0.25">
      <c r="A7" s="71"/>
      <c r="B7" s="80"/>
      <c r="C7" s="71"/>
      <c r="D7" s="71"/>
      <c r="E7" s="71"/>
      <c r="F7" s="72"/>
      <c r="G7" s="72"/>
      <c r="H7" s="73"/>
      <c r="I7" s="73"/>
      <c r="J7" s="73"/>
      <c r="K7" s="73"/>
      <c r="L7" s="73"/>
      <c r="M7" s="73"/>
      <c r="N7" s="73"/>
      <c r="O7" s="81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</row>
    <row r="8" spans="1:41" x14ac:dyDescent="0.25">
      <c r="A8" s="71">
        <v>2</v>
      </c>
      <c r="B8" s="80" t="s">
        <v>194</v>
      </c>
      <c r="C8" s="90" t="e">
        <f>IF(B8&lt;&gt;0,(VLOOKUP($B8,сотрудники!$B$4:$D$217,2,0)),0)</f>
        <v>#N/A</v>
      </c>
      <c r="D8" s="71" t="e">
        <f>IF(C8&lt;&gt;0,(VLOOKUP($B8,сотрудники!$B$4:$D$217,3,0)),0)</f>
        <v>#N/A</v>
      </c>
      <c r="E8" s="71" t="e">
        <f>IF(D8&lt;&gt;0,(VLOOKUP($B8,сотрудники!$B$4:$E$217,4,0)),0)</f>
        <v>#N/A</v>
      </c>
      <c r="F8" s="72">
        <f>SUM(G8:AO8)</f>
        <v>176</v>
      </c>
      <c r="G8" s="72"/>
      <c r="H8" s="73"/>
      <c r="I8" s="73"/>
      <c r="J8" s="73"/>
      <c r="K8" s="73"/>
      <c r="L8" s="73"/>
      <c r="M8" s="73"/>
      <c r="N8" s="73"/>
      <c r="O8" s="81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176</v>
      </c>
      <c r="AL8" s="73"/>
      <c r="AM8" s="73"/>
      <c r="AN8" s="73"/>
      <c r="AO8" s="73"/>
    </row>
    <row r="9" spans="1:41" x14ac:dyDescent="0.25">
      <c r="A9" s="71"/>
      <c r="B9" s="80"/>
      <c r="C9" s="71"/>
      <c r="D9" s="71"/>
      <c r="E9" s="71"/>
      <c r="F9" s="72"/>
      <c r="G9" s="72"/>
      <c r="H9" s="73"/>
      <c r="I9" s="73"/>
      <c r="J9" s="73"/>
      <c r="K9" s="73"/>
      <c r="L9" s="73"/>
      <c r="M9" s="73"/>
      <c r="N9" s="73"/>
      <c r="O9" s="81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</row>
    <row r="10" spans="1:41" x14ac:dyDescent="0.25">
      <c r="A10" s="71">
        <v>3</v>
      </c>
      <c r="B10" s="80" t="s">
        <v>195</v>
      </c>
      <c r="C10" s="90" t="e">
        <f>IF(B10&lt;&gt;0,(VLOOKUP($B10,сотрудники!$B$4:$D$217,2,0)),0)</f>
        <v>#N/A</v>
      </c>
      <c r="D10" s="71" t="e">
        <f>IF(C10&lt;&gt;0,(VLOOKUP($B10,сотрудники!$B$4:$D$217,3,0)),0)</f>
        <v>#N/A</v>
      </c>
      <c r="E10" s="71" t="e">
        <f>IF(D10&lt;&gt;0,(VLOOKUP($B10,сотрудники!$B$4:$E$217,4,0)),0)</f>
        <v>#N/A</v>
      </c>
      <c r="F10" s="72">
        <f>SUM(G10:AO10)</f>
        <v>136</v>
      </c>
      <c r="G10" s="72"/>
      <c r="H10" s="73"/>
      <c r="I10" s="73"/>
      <c r="J10" s="73"/>
      <c r="K10" s="73"/>
      <c r="L10" s="73"/>
      <c r="M10" s="73"/>
      <c r="N10" s="73"/>
      <c r="O10" s="81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>
        <v>136</v>
      </c>
      <c r="AL10" s="73"/>
      <c r="AM10" s="73"/>
      <c r="AN10" s="73"/>
      <c r="AO10" s="73"/>
    </row>
    <row r="11" spans="1:41" x14ac:dyDescent="0.25">
      <c r="A11" s="71"/>
      <c r="B11" s="80"/>
      <c r="C11" s="71"/>
      <c r="D11" s="71"/>
      <c r="E11" s="71"/>
      <c r="F11" s="72"/>
      <c r="G11" s="72"/>
      <c r="H11" s="73"/>
      <c r="I11" s="73"/>
      <c r="J11" s="73"/>
      <c r="K11" s="73"/>
      <c r="L11" s="73"/>
      <c r="M11" s="73"/>
      <c r="N11" s="73"/>
      <c r="O11" s="81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87"/>
      <c r="AM11" s="87"/>
      <c r="AN11" s="87"/>
      <c r="AO11" s="73"/>
    </row>
    <row r="12" spans="1:41" x14ac:dyDescent="0.25">
      <c r="A12" s="71">
        <v>4</v>
      </c>
      <c r="B12" s="80" t="s">
        <v>196</v>
      </c>
      <c r="C12" s="90" t="e">
        <f>IF(B12&lt;&gt;0,(VLOOKUP($B12,сотрудники!$B$4:$D$217,2,0)),0)</f>
        <v>#N/A</v>
      </c>
      <c r="D12" s="71" t="e">
        <f>IF(C12&lt;&gt;0,(VLOOKUP($B12,сотрудники!$B$4:$D$217,3,0)),0)</f>
        <v>#N/A</v>
      </c>
      <c r="E12" s="71" t="e">
        <f>IF(D12&lt;&gt;0,(VLOOKUP($B12,сотрудники!$B$4:$E$217,4,0)),0)</f>
        <v>#N/A</v>
      </c>
      <c r="F12" s="72">
        <f>SUM(G12:AO12)</f>
        <v>165</v>
      </c>
      <c r="G12" s="72"/>
      <c r="H12" s="73"/>
      <c r="I12" s="73"/>
      <c r="J12" s="73"/>
      <c r="K12" s="73"/>
      <c r="L12" s="73"/>
      <c r="M12" s="73"/>
      <c r="N12" s="73"/>
      <c r="O12" s="81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>
        <v>165</v>
      </c>
      <c r="AK12" s="73"/>
      <c r="AO12" s="73"/>
    </row>
    <row r="13" spans="1:41" x14ac:dyDescent="0.25">
      <c r="A13" s="71"/>
      <c r="B13" s="80"/>
      <c r="C13" s="71"/>
      <c r="D13" s="71"/>
      <c r="E13" s="71"/>
      <c r="F13" s="72"/>
      <c r="G13" s="72"/>
      <c r="H13" s="73"/>
      <c r="I13" s="73"/>
      <c r="J13" s="73"/>
      <c r="K13" s="73"/>
      <c r="L13" s="73"/>
      <c r="M13" s="73"/>
      <c r="N13" s="73"/>
      <c r="O13" s="81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K13" s="73"/>
      <c r="AO13" s="73"/>
    </row>
    <row r="14" spans="1:41" x14ac:dyDescent="0.25">
      <c r="A14" s="71">
        <v>5</v>
      </c>
      <c r="B14" s="80" t="s">
        <v>197</v>
      </c>
      <c r="C14" s="90" t="e">
        <f>IF(B14&lt;&gt;0,(VLOOKUP($B14,сотрудники!$B$4:$D$217,2,0)),0)</f>
        <v>#N/A</v>
      </c>
      <c r="D14" s="71" t="e">
        <f>IF(C14&lt;&gt;0,(VLOOKUP($B14,сотрудники!$B$4:$D$217,3,0)),0)</f>
        <v>#N/A</v>
      </c>
      <c r="E14" s="71" t="e">
        <f>IF(D14&lt;&gt;0,(VLOOKUP($B14,сотрудники!$B$4:$E$217,4,0)),0)</f>
        <v>#N/A</v>
      </c>
      <c r="F14" s="72">
        <f>SUM(G14:AO14)</f>
        <v>173</v>
      </c>
      <c r="G14" s="72"/>
      <c r="H14" s="73"/>
      <c r="I14" s="73"/>
      <c r="J14" s="73"/>
      <c r="K14" s="73"/>
      <c r="L14" s="73"/>
      <c r="M14" s="73"/>
      <c r="N14" s="73"/>
      <c r="O14" s="81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84">
        <v>173</v>
      </c>
      <c r="AL14" s="73"/>
      <c r="AM14" s="73"/>
      <c r="AN14" s="73"/>
      <c r="AO14" s="73"/>
    </row>
    <row r="15" spans="1:41" x14ac:dyDescent="0.25">
      <c r="A15" s="71"/>
      <c r="B15" s="80"/>
      <c r="C15" s="71"/>
      <c r="D15" s="71"/>
      <c r="E15" s="71"/>
      <c r="F15" s="72"/>
      <c r="G15" s="72"/>
      <c r="H15" s="73"/>
      <c r="I15" s="73"/>
      <c r="J15" s="73"/>
      <c r="K15" s="73"/>
      <c r="L15" s="73"/>
      <c r="M15" s="73"/>
      <c r="N15" s="73"/>
      <c r="O15" s="81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84"/>
      <c r="AL15" s="73"/>
      <c r="AM15" s="73"/>
      <c r="AN15" s="73"/>
      <c r="AO15" s="73"/>
    </row>
    <row r="16" spans="1:41" s="2" customFormat="1" x14ac:dyDescent="0.25">
      <c r="A16" s="71">
        <v>6</v>
      </c>
      <c r="B16" s="80" t="s">
        <v>198</v>
      </c>
      <c r="C16" s="90" t="e">
        <f>IF(B16&lt;&gt;0,(VLOOKUP($B16,сотрудники!$B$4:$D$217,2,0)),0)</f>
        <v>#N/A</v>
      </c>
      <c r="D16" s="71" t="e">
        <f>IF(C16&lt;&gt;0,(VLOOKUP($B16,сотрудники!$B$4:$D$217,3,0)),0)</f>
        <v>#N/A</v>
      </c>
      <c r="E16" s="71" t="e">
        <f>IF(D16&lt;&gt;0,(VLOOKUP($B16,сотрудники!$B$4:$E$217,4,0)),0)</f>
        <v>#N/A</v>
      </c>
      <c r="F16" s="72">
        <f>SUM(G16:AO16)</f>
        <v>176</v>
      </c>
      <c r="G16" s="72"/>
      <c r="H16" s="73"/>
      <c r="I16" s="73"/>
      <c r="J16" s="73"/>
      <c r="K16" s="73"/>
      <c r="L16" s="73"/>
      <c r="M16" s="73"/>
      <c r="N16" s="73"/>
      <c r="O16" s="81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>
        <v>51</v>
      </c>
      <c r="AM16" s="73">
        <v>125</v>
      </c>
      <c r="AN16" s="73"/>
      <c r="AO16" s="73"/>
    </row>
    <row r="17" spans="1:41" s="2" customFormat="1" x14ac:dyDescent="0.25">
      <c r="A17" s="71"/>
      <c r="B17" s="80"/>
      <c r="C17" s="71"/>
      <c r="D17" s="71"/>
      <c r="E17" s="71"/>
      <c r="F17" s="72"/>
      <c r="G17" s="72" t="s">
        <v>224</v>
      </c>
      <c r="H17" s="88">
        <f t="shared" ref="H17:AO17" si="0">SUM(H16)/SUM($H$16:$AO$16)</f>
        <v>0</v>
      </c>
      <c r="I17" s="88">
        <f t="shared" si="0"/>
        <v>0</v>
      </c>
      <c r="J17" s="88">
        <f t="shared" si="0"/>
        <v>0</v>
      </c>
      <c r="K17" s="88">
        <f t="shared" si="0"/>
        <v>0</v>
      </c>
      <c r="L17" s="88">
        <f t="shared" si="0"/>
        <v>0</v>
      </c>
      <c r="M17" s="88">
        <f t="shared" si="0"/>
        <v>0</v>
      </c>
      <c r="N17" s="88">
        <f t="shared" si="0"/>
        <v>0</v>
      </c>
      <c r="O17" s="89">
        <f t="shared" si="0"/>
        <v>0</v>
      </c>
      <c r="P17" s="88">
        <f t="shared" si="0"/>
        <v>0</v>
      </c>
      <c r="Q17" s="88">
        <f t="shared" si="0"/>
        <v>0</v>
      </c>
      <c r="R17" s="88">
        <f t="shared" si="0"/>
        <v>0</v>
      </c>
      <c r="S17" s="88">
        <f t="shared" si="0"/>
        <v>0</v>
      </c>
      <c r="T17" s="88">
        <f t="shared" si="0"/>
        <v>0</v>
      </c>
      <c r="U17" s="88">
        <f t="shared" si="0"/>
        <v>0</v>
      </c>
      <c r="V17" s="88">
        <f t="shared" si="0"/>
        <v>0</v>
      </c>
      <c r="W17" s="88">
        <f t="shared" si="0"/>
        <v>0</v>
      </c>
      <c r="X17" s="88">
        <f t="shared" si="0"/>
        <v>0</v>
      </c>
      <c r="Y17" s="88">
        <f t="shared" si="0"/>
        <v>0</v>
      </c>
      <c r="Z17" s="88">
        <f t="shared" si="0"/>
        <v>0</v>
      </c>
      <c r="AA17" s="88">
        <f t="shared" si="0"/>
        <v>0</v>
      </c>
      <c r="AB17" s="88">
        <f t="shared" si="0"/>
        <v>0</v>
      </c>
      <c r="AC17" s="88">
        <f t="shared" si="0"/>
        <v>0</v>
      </c>
      <c r="AD17" s="88">
        <f t="shared" si="0"/>
        <v>0</v>
      </c>
      <c r="AE17" s="88">
        <f t="shared" si="0"/>
        <v>0</v>
      </c>
      <c r="AF17" s="88">
        <f t="shared" si="0"/>
        <v>0</v>
      </c>
      <c r="AG17" s="88">
        <f t="shared" si="0"/>
        <v>0</v>
      </c>
      <c r="AH17" s="88">
        <f t="shared" si="0"/>
        <v>0</v>
      </c>
      <c r="AI17" s="88">
        <f t="shared" si="0"/>
        <v>0</v>
      </c>
      <c r="AJ17" s="88">
        <f t="shared" si="0"/>
        <v>0</v>
      </c>
      <c r="AK17" s="88">
        <f t="shared" si="0"/>
        <v>0</v>
      </c>
      <c r="AL17" s="88">
        <f t="shared" si="0"/>
        <v>0.28977272727272729</v>
      </c>
      <c r="AM17" s="88">
        <f t="shared" si="0"/>
        <v>0.71022727272727271</v>
      </c>
      <c r="AN17" s="88">
        <f t="shared" si="0"/>
        <v>0</v>
      </c>
      <c r="AO17" s="88">
        <f t="shared" si="0"/>
        <v>0</v>
      </c>
    </row>
    <row r="18" spans="1:41" s="2" customFormat="1" x14ac:dyDescent="0.25">
      <c r="A18" s="71">
        <v>7</v>
      </c>
      <c r="B18" s="80" t="s">
        <v>200</v>
      </c>
      <c r="C18" s="90" t="e">
        <f>IF(B18&lt;&gt;0,(VLOOKUP($B18,сотрудники!$B$4:$D$217,2,0)),0)</f>
        <v>#N/A</v>
      </c>
      <c r="D18" s="71" t="e">
        <f>IF(C18&lt;&gt;0,(VLOOKUP($B18,сотрудники!$B$4:$D$217,3,0)),0)</f>
        <v>#N/A</v>
      </c>
      <c r="E18" s="71" t="e">
        <f>IF(D18&lt;&gt;0,(VLOOKUP($B18,сотрудники!$B$4:$E$217,4,0)),0)</f>
        <v>#N/A</v>
      </c>
      <c r="F18" s="72">
        <f>SUM(G18:AO18)</f>
        <v>165</v>
      </c>
      <c r="G18" s="72"/>
      <c r="H18" s="73"/>
      <c r="I18" s="73"/>
      <c r="J18" s="73"/>
      <c r="K18" s="73"/>
      <c r="L18" s="73"/>
      <c r="M18" s="73"/>
      <c r="N18" s="73"/>
      <c r="O18" s="81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>
        <v>165</v>
      </c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</row>
    <row r="19" spans="1:41" s="2" customFormat="1" x14ac:dyDescent="0.25">
      <c r="A19" s="71"/>
      <c r="B19" s="80"/>
      <c r="C19" s="71"/>
      <c r="D19" s="71"/>
      <c r="E19" s="71"/>
      <c r="F19" s="72"/>
      <c r="G19" s="72"/>
      <c r="H19" s="73"/>
      <c r="I19" s="73"/>
      <c r="J19" s="73"/>
      <c r="K19" s="73"/>
      <c r="L19" s="73"/>
      <c r="M19" s="73"/>
      <c r="N19" s="73"/>
      <c r="O19" s="81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</row>
    <row r="20" spans="1:41" s="2" customFormat="1" x14ac:dyDescent="0.25">
      <c r="A20" s="71">
        <v>8</v>
      </c>
      <c r="B20" s="80" t="s">
        <v>201</v>
      </c>
      <c r="C20" s="90" t="e">
        <f>IF(B20&lt;&gt;0,(VLOOKUP($B20,сотрудники!$B$4:$D$217,2,0)),0)</f>
        <v>#N/A</v>
      </c>
      <c r="D20" s="71" t="e">
        <f>IF(C20&lt;&gt;0,(VLOOKUP($B20,сотрудники!$B$4:$D$217,3,0)),0)</f>
        <v>#N/A</v>
      </c>
      <c r="E20" s="71" t="e">
        <f>IF(D20&lt;&gt;0,(VLOOKUP($B20,сотрудники!$B$4:$E$217,4,0)),0)</f>
        <v>#N/A</v>
      </c>
      <c r="F20" s="72">
        <f>SUM(G20:AO20)</f>
        <v>165</v>
      </c>
      <c r="G20" s="72"/>
      <c r="H20" s="73"/>
      <c r="I20" s="73"/>
      <c r="J20" s="73">
        <v>165</v>
      </c>
      <c r="K20" s="73"/>
      <c r="L20" s="73"/>
      <c r="M20" s="73"/>
      <c r="N20" s="73"/>
      <c r="O20" s="81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</row>
    <row r="21" spans="1:41" s="2" customFormat="1" x14ac:dyDescent="0.25">
      <c r="A21" s="71"/>
      <c r="B21" s="80"/>
      <c r="C21" s="71"/>
      <c r="D21" s="71"/>
      <c r="E21" s="71"/>
      <c r="F21" s="72"/>
      <c r="G21" s="72"/>
      <c r="H21" s="73"/>
      <c r="I21" s="73"/>
      <c r="J21" s="73"/>
      <c r="K21" s="73"/>
      <c r="L21" s="73"/>
      <c r="M21" s="73"/>
      <c r="N21" s="73"/>
      <c r="O21" s="81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</row>
    <row r="22" spans="1:41" s="2" customFormat="1" x14ac:dyDescent="0.25">
      <c r="A22" s="71">
        <v>9</v>
      </c>
      <c r="B22" s="80" t="s">
        <v>202</v>
      </c>
      <c r="C22" s="90" t="e">
        <f>IF(B22&lt;&gt;0,(VLOOKUP($B22,сотрудники!$B$4:$D$217,2,0)),0)</f>
        <v>#N/A</v>
      </c>
      <c r="D22" s="71" t="e">
        <f>IF(C22&lt;&gt;0,(VLOOKUP($B22,сотрудники!$B$4:$D$217,3,0)),0)</f>
        <v>#N/A</v>
      </c>
      <c r="E22" s="71" t="e">
        <f>IF(D22&lt;&gt;0,(VLOOKUP($B22,сотрудники!$B$4:$E$217,4,0)),0)</f>
        <v>#N/A</v>
      </c>
      <c r="F22" s="72">
        <f>SUM(G22:AO22)</f>
        <v>136</v>
      </c>
      <c r="G22" s="72"/>
      <c r="H22" s="73"/>
      <c r="I22" s="73">
        <v>136</v>
      </c>
      <c r="J22" s="73"/>
      <c r="K22" s="73"/>
      <c r="L22" s="73"/>
      <c r="M22" s="73"/>
      <c r="N22" s="73"/>
      <c r="O22" s="81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</row>
    <row r="23" spans="1:41" s="2" customFormat="1" x14ac:dyDescent="0.25">
      <c r="A23" s="71"/>
      <c r="B23" s="80"/>
      <c r="C23" s="71"/>
      <c r="D23" s="71"/>
      <c r="E23" s="71"/>
      <c r="F23" s="72"/>
      <c r="G23" s="72" t="s">
        <v>224</v>
      </c>
      <c r="H23" s="88">
        <f t="shared" ref="H23:AO23" si="1">SUM(H22)/SUM($H$22:$AO$22)</f>
        <v>0</v>
      </c>
      <c r="I23" s="88">
        <f t="shared" si="1"/>
        <v>1</v>
      </c>
      <c r="J23" s="88">
        <f t="shared" si="1"/>
        <v>0</v>
      </c>
      <c r="K23" s="88"/>
      <c r="L23" s="88">
        <f t="shared" si="1"/>
        <v>0</v>
      </c>
      <c r="M23" s="88">
        <f t="shared" si="1"/>
        <v>0</v>
      </c>
      <c r="N23" s="88">
        <f t="shared" si="1"/>
        <v>0</v>
      </c>
      <c r="O23" s="89">
        <f t="shared" si="1"/>
        <v>0</v>
      </c>
      <c r="P23" s="88">
        <f t="shared" si="1"/>
        <v>0</v>
      </c>
      <c r="Q23" s="88">
        <f t="shared" si="1"/>
        <v>0</v>
      </c>
      <c r="R23" s="88">
        <f t="shared" si="1"/>
        <v>0</v>
      </c>
      <c r="S23" s="88">
        <f t="shared" si="1"/>
        <v>0</v>
      </c>
      <c r="T23" s="88">
        <f t="shared" si="1"/>
        <v>0</v>
      </c>
      <c r="U23" s="88">
        <f t="shared" si="1"/>
        <v>0</v>
      </c>
      <c r="V23" s="88">
        <f t="shared" si="1"/>
        <v>0</v>
      </c>
      <c r="W23" s="88">
        <f t="shared" si="1"/>
        <v>0</v>
      </c>
      <c r="X23" s="88">
        <f t="shared" si="1"/>
        <v>0</v>
      </c>
      <c r="Y23" s="88">
        <f t="shared" si="1"/>
        <v>0</v>
      </c>
      <c r="Z23" s="88">
        <f t="shared" si="1"/>
        <v>0</v>
      </c>
      <c r="AA23" s="88">
        <f t="shared" si="1"/>
        <v>0</v>
      </c>
      <c r="AB23" s="88">
        <f t="shared" si="1"/>
        <v>0</v>
      </c>
      <c r="AC23" s="88">
        <f t="shared" si="1"/>
        <v>0</v>
      </c>
      <c r="AD23" s="88">
        <f t="shared" si="1"/>
        <v>0</v>
      </c>
      <c r="AE23" s="88">
        <f t="shared" si="1"/>
        <v>0</v>
      </c>
      <c r="AF23" s="88">
        <f t="shared" si="1"/>
        <v>0</v>
      </c>
      <c r="AG23" s="88">
        <f t="shared" si="1"/>
        <v>0</v>
      </c>
      <c r="AH23" s="88">
        <f t="shared" si="1"/>
        <v>0</v>
      </c>
      <c r="AI23" s="88">
        <f t="shared" si="1"/>
        <v>0</v>
      </c>
      <c r="AJ23" s="88">
        <f t="shared" si="1"/>
        <v>0</v>
      </c>
      <c r="AK23" s="88">
        <f t="shared" si="1"/>
        <v>0</v>
      </c>
      <c r="AL23" s="88">
        <f t="shared" si="1"/>
        <v>0</v>
      </c>
      <c r="AM23" s="88">
        <f t="shared" si="1"/>
        <v>0</v>
      </c>
      <c r="AN23" s="88">
        <f t="shared" si="1"/>
        <v>0</v>
      </c>
      <c r="AO23" s="88">
        <f t="shared" si="1"/>
        <v>0</v>
      </c>
    </row>
    <row r="24" spans="1:41" s="2" customFormat="1" x14ac:dyDescent="0.25">
      <c r="A24" s="71">
        <v>10</v>
      </c>
      <c r="B24" s="80" t="s">
        <v>203</v>
      </c>
      <c r="C24" s="90" t="e">
        <f>IF(B24&lt;&gt;0,(VLOOKUP($B24,сотрудники!$B$4:$D$217,2,0)),0)</f>
        <v>#N/A</v>
      </c>
      <c r="D24" s="71" t="e">
        <f>IF(C24&lt;&gt;0,(VLOOKUP($B24,сотрудники!$B$4:$D$217,3,0)),0)</f>
        <v>#N/A</v>
      </c>
      <c r="E24" s="71" t="e">
        <f>IF(D24&lt;&gt;0,(VLOOKUP($B24,сотрудники!$B$4:$E$217,4,0)),0)</f>
        <v>#N/A</v>
      </c>
      <c r="F24" s="72">
        <f>SUM(G24:AO24)</f>
        <v>136</v>
      </c>
      <c r="G24" s="72"/>
      <c r="H24" s="73"/>
      <c r="I24" s="73"/>
      <c r="J24" s="73"/>
      <c r="K24" s="73"/>
      <c r="L24" s="73"/>
      <c r="M24" s="73"/>
      <c r="N24" s="73"/>
      <c r="O24" s="81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>
        <v>68</v>
      </c>
      <c r="AM24" s="73">
        <v>68</v>
      </c>
      <c r="AN24" s="73"/>
      <c r="AO24" s="73"/>
    </row>
    <row r="25" spans="1:41" s="2" customFormat="1" x14ac:dyDescent="0.25">
      <c r="A25" s="71"/>
      <c r="B25" s="80"/>
      <c r="C25" s="71"/>
      <c r="D25" s="71"/>
      <c r="E25" s="71"/>
      <c r="F25" s="72"/>
      <c r="G25" s="72" t="s">
        <v>224</v>
      </c>
      <c r="H25" s="88">
        <f t="shared" ref="H25:AO25" si="2">SUM(H24)/SUM($H$24:$AO$24)</f>
        <v>0</v>
      </c>
      <c r="I25" s="88">
        <f t="shared" si="2"/>
        <v>0</v>
      </c>
      <c r="J25" s="88">
        <f t="shared" si="2"/>
        <v>0</v>
      </c>
      <c r="K25" s="88">
        <f t="shared" si="2"/>
        <v>0</v>
      </c>
      <c r="L25" s="88">
        <f t="shared" si="2"/>
        <v>0</v>
      </c>
      <c r="M25" s="88">
        <f t="shared" si="2"/>
        <v>0</v>
      </c>
      <c r="N25" s="88">
        <f t="shared" si="2"/>
        <v>0</v>
      </c>
      <c r="O25" s="89">
        <f t="shared" si="2"/>
        <v>0</v>
      </c>
      <c r="P25" s="88">
        <f t="shared" si="2"/>
        <v>0</v>
      </c>
      <c r="Q25" s="88">
        <f t="shared" si="2"/>
        <v>0</v>
      </c>
      <c r="R25" s="88">
        <f t="shared" si="2"/>
        <v>0</v>
      </c>
      <c r="S25" s="88">
        <f t="shared" si="2"/>
        <v>0</v>
      </c>
      <c r="T25" s="88">
        <f t="shared" si="2"/>
        <v>0</v>
      </c>
      <c r="U25" s="88">
        <f t="shared" si="2"/>
        <v>0</v>
      </c>
      <c r="V25" s="88">
        <f t="shared" si="2"/>
        <v>0</v>
      </c>
      <c r="W25" s="88">
        <f t="shared" si="2"/>
        <v>0</v>
      </c>
      <c r="X25" s="88">
        <f t="shared" si="2"/>
        <v>0</v>
      </c>
      <c r="Y25" s="88">
        <f t="shared" si="2"/>
        <v>0</v>
      </c>
      <c r="Z25" s="88">
        <f t="shared" si="2"/>
        <v>0</v>
      </c>
      <c r="AA25" s="88">
        <f t="shared" si="2"/>
        <v>0</v>
      </c>
      <c r="AB25" s="88">
        <f t="shared" si="2"/>
        <v>0</v>
      </c>
      <c r="AC25" s="88">
        <f t="shared" si="2"/>
        <v>0</v>
      </c>
      <c r="AD25" s="88">
        <f t="shared" si="2"/>
        <v>0</v>
      </c>
      <c r="AE25" s="88">
        <f t="shared" si="2"/>
        <v>0</v>
      </c>
      <c r="AF25" s="88">
        <f t="shared" si="2"/>
        <v>0</v>
      </c>
      <c r="AG25" s="88">
        <f t="shared" si="2"/>
        <v>0</v>
      </c>
      <c r="AH25" s="88">
        <f t="shared" si="2"/>
        <v>0</v>
      </c>
      <c r="AI25" s="88">
        <f t="shared" si="2"/>
        <v>0</v>
      </c>
      <c r="AJ25" s="88">
        <f t="shared" si="2"/>
        <v>0</v>
      </c>
      <c r="AK25" s="88">
        <f t="shared" si="2"/>
        <v>0</v>
      </c>
      <c r="AL25" s="88">
        <f t="shared" si="2"/>
        <v>0.5</v>
      </c>
      <c r="AM25" s="88">
        <f t="shared" si="2"/>
        <v>0.5</v>
      </c>
      <c r="AN25" s="88">
        <f t="shared" si="2"/>
        <v>0</v>
      </c>
      <c r="AO25" s="88">
        <f t="shared" si="2"/>
        <v>0</v>
      </c>
    </row>
    <row r="26" spans="1:41" s="2" customFormat="1" x14ac:dyDescent="0.25">
      <c r="A26" s="71">
        <v>11</v>
      </c>
      <c r="B26" s="80" t="s">
        <v>204</v>
      </c>
      <c r="C26" s="90" t="e">
        <f>IF(B26&lt;&gt;0,(VLOOKUP($B26,сотрудники!$B$4:$D$217,2,0)),0)</f>
        <v>#N/A</v>
      </c>
      <c r="D26" s="71" t="e">
        <f>IF(C26&lt;&gt;0,(VLOOKUP($B26,сотрудники!$B$4:$D$217,3,0)),0)</f>
        <v>#N/A</v>
      </c>
      <c r="E26" s="71" t="e">
        <f>IF(D26&lt;&gt;0,(VLOOKUP($B26,сотрудники!$B$4:$E$217,4,0)),0)</f>
        <v>#N/A</v>
      </c>
      <c r="F26" s="72">
        <f>SUM(G26:AO26)</f>
        <v>165</v>
      </c>
      <c r="G26" s="72"/>
      <c r="H26" s="73"/>
      <c r="I26" s="73"/>
      <c r="J26" s="73"/>
      <c r="K26" s="73"/>
      <c r="L26" s="73"/>
      <c r="M26" s="73"/>
      <c r="N26" s="73"/>
      <c r="O26" s="81"/>
      <c r="P26" s="73"/>
      <c r="Q26" s="73"/>
      <c r="R26" s="73"/>
      <c r="S26" s="73"/>
      <c r="T26" s="73"/>
      <c r="U26" s="73"/>
      <c r="V26" s="73"/>
      <c r="W26" s="73">
        <v>55</v>
      </c>
      <c r="X26" s="73">
        <v>55</v>
      </c>
      <c r="Y26" s="73">
        <v>55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</row>
    <row r="27" spans="1:41" s="2" customFormat="1" x14ac:dyDescent="0.25">
      <c r="A27" s="71"/>
      <c r="B27" s="80"/>
      <c r="C27" s="71"/>
      <c r="D27" s="71"/>
      <c r="E27" s="71"/>
      <c r="F27" s="72"/>
      <c r="G27" s="72" t="s">
        <v>224</v>
      </c>
      <c r="H27" s="88">
        <f t="shared" ref="H27:AO27" si="3">SUM(H26)/SUM($H$26:$AO$26)</f>
        <v>0</v>
      </c>
      <c r="I27" s="88">
        <f t="shared" si="3"/>
        <v>0</v>
      </c>
      <c r="J27" s="88">
        <f t="shared" si="3"/>
        <v>0</v>
      </c>
      <c r="K27" s="88">
        <f t="shared" si="3"/>
        <v>0</v>
      </c>
      <c r="L27" s="88">
        <f t="shared" si="3"/>
        <v>0</v>
      </c>
      <c r="M27" s="88">
        <f t="shared" si="3"/>
        <v>0</v>
      </c>
      <c r="N27" s="88">
        <f t="shared" si="3"/>
        <v>0</v>
      </c>
      <c r="O27" s="89">
        <f t="shared" si="3"/>
        <v>0</v>
      </c>
      <c r="P27" s="88">
        <f t="shared" si="3"/>
        <v>0</v>
      </c>
      <c r="Q27" s="88">
        <f t="shared" si="3"/>
        <v>0</v>
      </c>
      <c r="R27" s="88">
        <f t="shared" si="3"/>
        <v>0</v>
      </c>
      <c r="S27" s="88">
        <f t="shared" si="3"/>
        <v>0</v>
      </c>
      <c r="T27" s="88">
        <f t="shared" si="3"/>
        <v>0</v>
      </c>
      <c r="U27" s="88">
        <f t="shared" si="3"/>
        <v>0</v>
      </c>
      <c r="V27" s="88"/>
      <c r="W27" s="88">
        <f t="shared" si="3"/>
        <v>0.33333333333333331</v>
      </c>
      <c r="X27" s="88">
        <f t="shared" si="3"/>
        <v>0.33333333333333331</v>
      </c>
      <c r="Y27" s="88">
        <f t="shared" si="3"/>
        <v>0.33333333333333331</v>
      </c>
      <c r="Z27" s="88">
        <f t="shared" si="3"/>
        <v>0</v>
      </c>
      <c r="AA27" s="88">
        <f t="shared" si="3"/>
        <v>0</v>
      </c>
      <c r="AB27" s="88">
        <f t="shared" si="3"/>
        <v>0</v>
      </c>
      <c r="AC27" s="88">
        <f t="shared" si="3"/>
        <v>0</v>
      </c>
      <c r="AD27" s="88">
        <f t="shared" si="3"/>
        <v>0</v>
      </c>
      <c r="AE27" s="88">
        <f t="shared" si="3"/>
        <v>0</v>
      </c>
      <c r="AF27" s="88">
        <f t="shared" si="3"/>
        <v>0</v>
      </c>
      <c r="AG27" s="88">
        <f t="shared" si="3"/>
        <v>0</v>
      </c>
      <c r="AH27" s="88">
        <f t="shared" si="3"/>
        <v>0</v>
      </c>
      <c r="AI27" s="88">
        <f t="shared" si="3"/>
        <v>0</v>
      </c>
      <c r="AJ27" s="88">
        <f t="shared" si="3"/>
        <v>0</v>
      </c>
      <c r="AK27" s="88">
        <f t="shared" si="3"/>
        <v>0</v>
      </c>
      <c r="AL27" s="88">
        <f t="shared" si="3"/>
        <v>0</v>
      </c>
      <c r="AM27" s="88">
        <f t="shared" si="3"/>
        <v>0</v>
      </c>
      <c r="AN27" s="88">
        <f t="shared" si="3"/>
        <v>0</v>
      </c>
      <c r="AO27" s="88">
        <f t="shared" si="3"/>
        <v>0</v>
      </c>
    </row>
    <row r="28" spans="1:41" s="2" customFormat="1" x14ac:dyDescent="0.25">
      <c r="A28" s="71">
        <v>12</v>
      </c>
      <c r="B28" s="80" t="s">
        <v>205</v>
      </c>
      <c r="C28" s="90" t="e">
        <f>IF(B28&lt;&gt;0,(VLOOKUP($B28,сотрудники!$B$4:$D$217,2,0)),0)</f>
        <v>#N/A</v>
      </c>
      <c r="D28" s="71" t="e">
        <f>IF(C28&lt;&gt;0,(VLOOKUP($B28,сотрудники!$B$4:$D$217,3,0)),0)</f>
        <v>#N/A</v>
      </c>
      <c r="E28" s="71" t="e">
        <f>IF(D28&lt;&gt;0,(VLOOKUP($B28,сотрудники!$B$4:$E$217,4,0)),0)</f>
        <v>#N/A</v>
      </c>
      <c r="F28" s="72">
        <f>SUM(G28:AO28)</f>
        <v>190</v>
      </c>
      <c r="G28" s="72"/>
      <c r="H28" s="73"/>
      <c r="I28" s="73"/>
      <c r="J28" s="73"/>
      <c r="K28" s="73"/>
      <c r="L28" s="73"/>
      <c r="M28" s="73"/>
      <c r="N28" s="73"/>
      <c r="O28" s="81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>
        <v>190</v>
      </c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</row>
    <row r="29" spans="1:41" s="2" customFormat="1" x14ac:dyDescent="0.25">
      <c r="A29" s="71"/>
      <c r="B29" s="80"/>
      <c r="C29" s="71"/>
      <c r="D29" s="71"/>
      <c r="E29" s="71"/>
      <c r="F29" s="72"/>
      <c r="G29" s="72"/>
      <c r="H29" s="73"/>
      <c r="I29" s="73"/>
      <c r="J29" s="73"/>
      <c r="K29" s="73"/>
      <c r="L29" s="73"/>
      <c r="M29" s="73"/>
      <c r="N29" s="73"/>
      <c r="O29" s="81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</row>
    <row r="30" spans="1:41" s="2" customFormat="1" x14ac:dyDescent="0.25">
      <c r="A30" s="71">
        <v>13</v>
      </c>
      <c r="B30" s="80" t="s">
        <v>206</v>
      </c>
      <c r="C30" s="90" t="e">
        <f>IF(B30&lt;&gt;0,(VLOOKUP($B30,сотрудники!$B$4:$D$217,2,0)),0)</f>
        <v>#N/A</v>
      </c>
      <c r="D30" s="71" t="e">
        <f>IF(C30&lt;&gt;0,(VLOOKUP($B30,сотрудники!$B$4:$D$217,3,0)),0)</f>
        <v>#N/A</v>
      </c>
      <c r="E30" s="71" t="e">
        <f>IF(D30&lt;&gt;0,(VLOOKUP($B30,сотрудники!$B$4:$E$217,4,0)),0)</f>
        <v>#N/A</v>
      </c>
      <c r="F30" s="72">
        <f>SUM(G30:AO30)</f>
        <v>187</v>
      </c>
      <c r="G30" s="72"/>
      <c r="H30" s="73"/>
      <c r="I30" s="73">
        <v>187</v>
      </c>
      <c r="J30" s="73"/>
      <c r="K30" s="73"/>
      <c r="L30" s="73"/>
      <c r="M30" s="73"/>
      <c r="N30" s="73"/>
      <c r="O30" s="81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</row>
    <row r="31" spans="1:41" s="2" customFormat="1" x14ac:dyDescent="0.25">
      <c r="A31" s="71"/>
      <c r="B31" s="80"/>
      <c r="C31" s="71"/>
      <c r="D31" s="71"/>
      <c r="E31" s="71"/>
      <c r="F31" s="72"/>
      <c r="G31" s="72"/>
      <c r="H31" s="73"/>
      <c r="I31" s="73"/>
      <c r="J31" s="73"/>
      <c r="K31" s="73"/>
      <c r="L31" s="73"/>
      <c r="M31" s="73"/>
      <c r="N31" s="73"/>
      <c r="O31" s="81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</row>
    <row r="32" spans="1:41" s="2" customFormat="1" x14ac:dyDescent="0.25">
      <c r="A32" s="71">
        <v>14</v>
      </c>
      <c r="B32" s="80" t="s">
        <v>207</v>
      </c>
      <c r="C32" s="90" t="e">
        <f>IF(B32&lt;&gt;0,(VLOOKUP($B32,сотрудники!$B$4:$D$217,2,0)),0)</f>
        <v>#N/A</v>
      </c>
      <c r="D32" s="71" t="e">
        <f>IF(C32&lt;&gt;0,(VLOOKUP($B32,сотрудники!$B$4:$D$217,3,0)),0)</f>
        <v>#N/A</v>
      </c>
      <c r="E32" s="71" t="e">
        <f>IF(D32&lt;&gt;0,(VLOOKUP($B32,сотрудники!$B$4:$E$217,4,0)),0)</f>
        <v>#N/A</v>
      </c>
      <c r="F32" s="72">
        <f>SUM(G32:AO32)</f>
        <v>165</v>
      </c>
      <c r="G32" s="72"/>
      <c r="H32" s="73"/>
      <c r="I32" s="73"/>
      <c r="J32" s="73"/>
      <c r="K32" s="73"/>
      <c r="L32" s="73"/>
      <c r="M32" s="73"/>
      <c r="N32" s="73"/>
      <c r="O32" s="81"/>
      <c r="P32" s="73"/>
      <c r="Q32" s="73"/>
      <c r="R32" s="73"/>
      <c r="S32" s="73">
        <v>42</v>
      </c>
      <c r="T32" s="73">
        <v>42</v>
      </c>
      <c r="U32" s="73">
        <v>41</v>
      </c>
      <c r="V32" s="73">
        <v>40</v>
      </c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</row>
    <row r="33" spans="1:41" s="2" customFormat="1" x14ac:dyDescent="0.25">
      <c r="A33" s="71"/>
      <c r="B33" s="80"/>
      <c r="C33" s="71"/>
      <c r="D33" s="71"/>
      <c r="E33" s="71"/>
      <c r="F33" s="72"/>
      <c r="G33" s="72" t="s">
        <v>224</v>
      </c>
      <c r="H33" s="88">
        <f t="shared" ref="H33:R33" si="4">SUM(H32)/SUM($H$32:$AO$32)</f>
        <v>0</v>
      </c>
      <c r="I33" s="88">
        <f t="shared" si="4"/>
        <v>0</v>
      </c>
      <c r="J33" s="88">
        <f t="shared" si="4"/>
        <v>0</v>
      </c>
      <c r="K33" s="88">
        <f t="shared" si="4"/>
        <v>0</v>
      </c>
      <c r="L33" s="88">
        <f t="shared" si="4"/>
        <v>0</v>
      </c>
      <c r="M33" s="88">
        <f t="shared" si="4"/>
        <v>0</v>
      </c>
      <c r="N33" s="88">
        <f t="shared" si="4"/>
        <v>0</v>
      </c>
      <c r="O33" s="89">
        <f t="shared" si="4"/>
        <v>0</v>
      </c>
      <c r="P33" s="88">
        <f t="shared" si="4"/>
        <v>0</v>
      </c>
      <c r="Q33" s="88">
        <f t="shared" si="4"/>
        <v>0</v>
      </c>
      <c r="R33" s="88">
        <f t="shared" si="4"/>
        <v>0</v>
      </c>
      <c r="S33" s="88">
        <f t="shared" ref="S33:V33" si="5">SUM(S32)/SUM($H$32:$AO$32)</f>
        <v>0.25454545454545452</v>
      </c>
      <c r="T33" s="88">
        <f t="shared" si="5"/>
        <v>0.25454545454545452</v>
      </c>
      <c r="U33" s="88">
        <f t="shared" si="5"/>
        <v>0.24848484848484848</v>
      </c>
      <c r="V33" s="88">
        <f t="shared" si="5"/>
        <v>0.24242424242424243</v>
      </c>
      <c r="W33" s="88"/>
      <c r="X33" s="88"/>
      <c r="Y33" s="88"/>
      <c r="Z33" s="88">
        <f t="shared" ref="Z33:AO33" si="6">SUM(Z32)/SUM($H$32:$AO$32)</f>
        <v>0</v>
      </c>
      <c r="AA33" s="88">
        <f t="shared" si="6"/>
        <v>0</v>
      </c>
      <c r="AB33" s="88">
        <f t="shared" si="6"/>
        <v>0</v>
      </c>
      <c r="AC33" s="88">
        <f t="shared" si="6"/>
        <v>0</v>
      </c>
      <c r="AD33" s="88">
        <f t="shared" si="6"/>
        <v>0</v>
      </c>
      <c r="AE33" s="88">
        <f t="shared" si="6"/>
        <v>0</v>
      </c>
      <c r="AF33" s="88">
        <f t="shared" si="6"/>
        <v>0</v>
      </c>
      <c r="AG33" s="88">
        <f t="shared" si="6"/>
        <v>0</v>
      </c>
      <c r="AH33" s="88">
        <f t="shared" si="6"/>
        <v>0</v>
      </c>
      <c r="AI33" s="88">
        <f t="shared" si="6"/>
        <v>0</v>
      </c>
      <c r="AJ33" s="88">
        <f t="shared" si="6"/>
        <v>0</v>
      </c>
      <c r="AK33" s="88">
        <f t="shared" si="6"/>
        <v>0</v>
      </c>
      <c r="AL33" s="88">
        <f t="shared" si="6"/>
        <v>0</v>
      </c>
      <c r="AM33" s="88">
        <f t="shared" si="6"/>
        <v>0</v>
      </c>
      <c r="AN33" s="88">
        <f t="shared" si="6"/>
        <v>0</v>
      </c>
      <c r="AO33" s="88">
        <f t="shared" si="6"/>
        <v>0</v>
      </c>
    </row>
    <row r="34" spans="1:41" s="2" customFormat="1" x14ac:dyDescent="0.25">
      <c r="A34" s="71">
        <v>15</v>
      </c>
      <c r="B34" s="80" t="s">
        <v>208</v>
      </c>
      <c r="C34" s="90" t="e">
        <f>IF(B34&lt;&gt;0,(VLOOKUP($B34,сотрудники!$B$4:$D$217,2,0)),0)</f>
        <v>#N/A</v>
      </c>
      <c r="D34" s="71" t="e">
        <f>IF(C34&lt;&gt;0,(VLOOKUP($B34,сотрудники!$B$4:$D$217,3,0)),0)</f>
        <v>#N/A</v>
      </c>
      <c r="E34" s="71" t="e">
        <f>IF(D34&lt;&gt;0,(VLOOKUP($B34,сотрудники!$B$4:$E$217,4,0)),0)</f>
        <v>#N/A</v>
      </c>
      <c r="F34" s="72">
        <f>SUM(G34:AO34)</f>
        <v>165</v>
      </c>
      <c r="G34" s="72"/>
      <c r="H34" s="73"/>
      <c r="I34" s="73"/>
      <c r="J34" s="73"/>
      <c r="K34" s="73"/>
      <c r="L34" s="73"/>
      <c r="M34" s="73"/>
      <c r="N34" s="73"/>
      <c r="O34" s="81"/>
      <c r="P34" s="73"/>
      <c r="Q34" s="73"/>
      <c r="R34" s="73"/>
      <c r="S34" s="73">
        <v>42</v>
      </c>
      <c r="T34" s="73">
        <v>42</v>
      </c>
      <c r="U34" s="73">
        <v>41</v>
      </c>
      <c r="V34" s="73">
        <v>40</v>
      </c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</row>
    <row r="35" spans="1:41" s="2" customFormat="1" x14ac:dyDescent="0.25">
      <c r="A35" s="71"/>
      <c r="B35" s="80"/>
      <c r="C35" s="71"/>
      <c r="D35" s="71"/>
      <c r="E35" s="71"/>
      <c r="F35" s="72"/>
      <c r="G35" s="72" t="s">
        <v>224</v>
      </c>
      <c r="H35" s="88">
        <f t="shared" ref="H35:AO35" si="7">SUM(H34)/SUM($H$34:$AO$34)</f>
        <v>0</v>
      </c>
      <c r="I35" s="88">
        <f t="shared" si="7"/>
        <v>0</v>
      </c>
      <c r="J35" s="88">
        <f t="shared" si="7"/>
        <v>0</v>
      </c>
      <c r="K35" s="88">
        <f t="shared" si="7"/>
        <v>0</v>
      </c>
      <c r="L35" s="88">
        <f t="shared" si="7"/>
        <v>0</v>
      </c>
      <c r="M35" s="88">
        <f t="shared" si="7"/>
        <v>0</v>
      </c>
      <c r="N35" s="88">
        <f t="shared" si="7"/>
        <v>0</v>
      </c>
      <c r="O35" s="89">
        <f t="shared" si="7"/>
        <v>0</v>
      </c>
      <c r="P35" s="88">
        <f t="shared" si="7"/>
        <v>0</v>
      </c>
      <c r="Q35" s="88">
        <f t="shared" si="7"/>
        <v>0</v>
      </c>
      <c r="R35" s="88">
        <f t="shared" si="7"/>
        <v>0</v>
      </c>
      <c r="S35" s="88">
        <f t="shared" si="7"/>
        <v>0.25454545454545452</v>
      </c>
      <c r="T35" s="88">
        <f t="shared" si="7"/>
        <v>0.25454545454545452</v>
      </c>
      <c r="U35" s="88">
        <f t="shared" si="7"/>
        <v>0.24848484848484848</v>
      </c>
      <c r="V35" s="88">
        <f t="shared" si="7"/>
        <v>0.24242424242424243</v>
      </c>
      <c r="W35" s="88">
        <f t="shared" si="7"/>
        <v>0</v>
      </c>
      <c r="X35" s="88">
        <f t="shared" si="7"/>
        <v>0</v>
      </c>
      <c r="Y35" s="88">
        <f t="shared" si="7"/>
        <v>0</v>
      </c>
      <c r="Z35" s="88">
        <f t="shared" si="7"/>
        <v>0</v>
      </c>
      <c r="AA35" s="88">
        <f t="shared" si="7"/>
        <v>0</v>
      </c>
      <c r="AB35" s="88">
        <f t="shared" si="7"/>
        <v>0</v>
      </c>
      <c r="AC35" s="88">
        <f t="shared" si="7"/>
        <v>0</v>
      </c>
      <c r="AD35" s="88">
        <f t="shared" si="7"/>
        <v>0</v>
      </c>
      <c r="AE35" s="88">
        <f t="shared" si="7"/>
        <v>0</v>
      </c>
      <c r="AF35" s="88">
        <f t="shared" si="7"/>
        <v>0</v>
      </c>
      <c r="AG35" s="88">
        <f t="shared" si="7"/>
        <v>0</v>
      </c>
      <c r="AH35" s="88">
        <f t="shared" si="7"/>
        <v>0</v>
      </c>
      <c r="AI35" s="88">
        <f t="shared" si="7"/>
        <v>0</v>
      </c>
      <c r="AJ35" s="88">
        <f t="shared" si="7"/>
        <v>0</v>
      </c>
      <c r="AK35" s="88">
        <f t="shared" si="7"/>
        <v>0</v>
      </c>
      <c r="AL35" s="88">
        <f t="shared" si="7"/>
        <v>0</v>
      </c>
      <c r="AM35" s="88">
        <f t="shared" si="7"/>
        <v>0</v>
      </c>
      <c r="AN35" s="88">
        <f t="shared" si="7"/>
        <v>0</v>
      </c>
      <c r="AO35" s="88">
        <f t="shared" si="7"/>
        <v>0</v>
      </c>
    </row>
    <row r="36" spans="1:41" s="2" customFormat="1" x14ac:dyDescent="0.25">
      <c r="A36" s="71">
        <v>16</v>
      </c>
      <c r="B36" s="80" t="s">
        <v>209</v>
      </c>
      <c r="C36" s="90" t="e">
        <f>IF(B36&lt;&gt;0,(VLOOKUP($B36,сотрудники!$B$4:$D$217,2,0)),0)</f>
        <v>#N/A</v>
      </c>
      <c r="D36" s="71" t="e">
        <f>IF(C36&lt;&gt;0,(VLOOKUP($B36,сотрудники!$B$4:$D$217,3,0)),0)</f>
        <v>#N/A</v>
      </c>
      <c r="E36" s="71" t="e">
        <f>IF(D36&lt;&gt;0,(VLOOKUP($B36,сотрудники!$B$4:$E$217,4,0)),0)</f>
        <v>#N/A</v>
      </c>
      <c r="F36" s="72">
        <f>SUM(G36:AO36)</f>
        <v>176</v>
      </c>
      <c r="G36" s="72"/>
      <c r="H36" s="73"/>
      <c r="I36" s="73"/>
      <c r="J36" s="73"/>
      <c r="K36" s="73"/>
      <c r="L36" s="73"/>
      <c r="M36" s="73"/>
      <c r="N36" s="73"/>
      <c r="O36" s="81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>
        <v>176</v>
      </c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</row>
    <row r="37" spans="1:41" s="2" customFormat="1" x14ac:dyDescent="0.25">
      <c r="A37" s="71"/>
      <c r="B37" s="80"/>
      <c r="C37" s="71"/>
      <c r="D37" s="71"/>
      <c r="E37" s="71"/>
      <c r="F37" s="72"/>
      <c r="G37" s="72"/>
      <c r="H37" s="73"/>
      <c r="I37" s="73"/>
      <c r="J37" s="73"/>
      <c r="K37" s="73"/>
      <c r="L37" s="73"/>
      <c r="M37" s="73"/>
      <c r="N37" s="73"/>
      <c r="O37" s="81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</row>
    <row r="38" spans="1:41" s="2" customFormat="1" x14ac:dyDescent="0.25">
      <c r="A38" s="71">
        <v>17</v>
      </c>
      <c r="B38" s="80" t="s">
        <v>210</v>
      </c>
      <c r="C38" s="90" t="e">
        <f>IF(B38&lt;&gt;0,(VLOOKUP($B38,сотрудники!$B$4:$D$217,2,0)),0)</f>
        <v>#N/A</v>
      </c>
      <c r="D38" s="71" t="e">
        <f>IF(C38&lt;&gt;0,(VLOOKUP($B38,сотрудники!$B$4:$D$217,3,0)),0)</f>
        <v>#N/A</v>
      </c>
      <c r="E38" s="71" t="e">
        <f>IF(D38&lt;&gt;0,(VLOOKUP($B38,сотрудники!$B$4:$E$217,4,0)),0)</f>
        <v>#N/A</v>
      </c>
      <c r="F38" s="72">
        <f>SUM(G38:AO38)</f>
        <v>187</v>
      </c>
      <c r="G38" s="72"/>
      <c r="H38" s="73"/>
      <c r="I38" s="73"/>
      <c r="J38" s="73"/>
      <c r="K38" s="73"/>
      <c r="L38" s="73"/>
      <c r="M38" s="73"/>
      <c r="N38" s="73"/>
      <c r="O38" s="81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>
        <v>187</v>
      </c>
      <c r="AJ38" s="73"/>
      <c r="AK38" s="73"/>
      <c r="AL38" s="73"/>
      <c r="AM38" s="73"/>
      <c r="AN38" s="73"/>
      <c r="AO38" s="73"/>
    </row>
    <row r="39" spans="1:41" s="2" customFormat="1" x14ac:dyDescent="0.25">
      <c r="A39" s="71"/>
      <c r="B39" s="80"/>
      <c r="C39" s="71"/>
      <c r="D39" s="71"/>
      <c r="E39" s="71"/>
      <c r="F39" s="72"/>
      <c r="G39" s="72"/>
      <c r="H39" s="73"/>
      <c r="I39" s="73"/>
      <c r="J39" s="73"/>
      <c r="K39" s="73"/>
      <c r="L39" s="73"/>
      <c r="M39" s="73"/>
      <c r="N39" s="73"/>
      <c r="O39" s="81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</row>
    <row r="40" spans="1:41" s="2" customFormat="1" x14ac:dyDescent="0.25">
      <c r="A40" s="71">
        <v>18</v>
      </c>
      <c r="B40" s="80" t="s">
        <v>211</v>
      </c>
      <c r="C40" s="90" t="e">
        <f>IF(B40&lt;&gt;0,(VLOOKUP($B40,сотрудники!$B$4:$D$217,2,0)),0)</f>
        <v>#N/A</v>
      </c>
      <c r="D40" s="71" t="e">
        <f>IF(C40&lt;&gt;0,(VLOOKUP($B40,сотрудники!$B$4:$D$217,3,0)),0)</f>
        <v>#N/A</v>
      </c>
      <c r="E40" s="71" t="e">
        <f>IF(D40&lt;&gt;0,(VLOOKUP($B40,сотрудники!$B$4:$E$217,4,0)),0)</f>
        <v>#N/A</v>
      </c>
      <c r="F40" s="72">
        <f>SUM(G40:AO40)</f>
        <v>154</v>
      </c>
      <c r="G40" s="72"/>
      <c r="H40" s="73"/>
      <c r="I40" s="73">
        <v>154</v>
      </c>
      <c r="J40" s="73"/>
      <c r="K40" s="73"/>
      <c r="L40" s="73"/>
      <c r="M40" s="73"/>
      <c r="N40" s="73"/>
      <c r="O40" s="81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</row>
    <row r="41" spans="1:41" s="2" customFormat="1" x14ac:dyDescent="0.25">
      <c r="A41" s="71"/>
      <c r="B41" s="80"/>
      <c r="C41" s="71"/>
      <c r="D41" s="71"/>
      <c r="E41" s="71"/>
      <c r="F41" s="72"/>
      <c r="G41" s="72"/>
      <c r="H41" s="73"/>
      <c r="I41" s="73"/>
      <c r="J41" s="73"/>
      <c r="K41" s="73"/>
      <c r="L41" s="73"/>
      <c r="M41" s="73"/>
      <c r="N41" s="73"/>
      <c r="O41" s="81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</row>
    <row r="42" spans="1:41" s="2" customFormat="1" x14ac:dyDescent="0.25">
      <c r="A42" s="71">
        <v>19</v>
      </c>
      <c r="B42" s="80" t="s">
        <v>199</v>
      </c>
      <c r="C42" s="90" t="e">
        <f>IF(B42&lt;&gt;0,(VLOOKUP($B42,сотрудники!$B$4:$D$217,2,0)),0)</f>
        <v>#N/A</v>
      </c>
      <c r="D42" s="71" t="e">
        <f>IF(C42&lt;&gt;0,(VLOOKUP($B42,сотрудники!$B$4:$D$217,3,0)),0)</f>
        <v>#N/A</v>
      </c>
      <c r="E42" s="71" t="e">
        <f>IF(D42&lt;&gt;0,(VLOOKUP($B42,сотрудники!$B$4:$E$217,4,0)),0)</f>
        <v>#N/A</v>
      </c>
      <c r="F42" s="72">
        <f>SUM(G42:AO42)</f>
        <v>44</v>
      </c>
      <c r="G42" s="72"/>
      <c r="H42" s="73"/>
      <c r="I42" s="73"/>
      <c r="J42" s="73"/>
      <c r="K42" s="73"/>
      <c r="L42" s="73"/>
      <c r="M42" s="73"/>
      <c r="N42" s="73"/>
      <c r="O42" s="81"/>
      <c r="P42" s="73"/>
      <c r="Q42" s="73"/>
      <c r="R42" s="73"/>
      <c r="S42" s="73">
        <v>15</v>
      </c>
      <c r="T42" s="73">
        <v>15</v>
      </c>
      <c r="U42" s="73">
        <v>14</v>
      </c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</row>
    <row r="43" spans="1:41" s="2" customFormat="1" x14ac:dyDescent="0.25">
      <c r="A43" s="71"/>
      <c r="B43" s="80"/>
      <c r="C43" s="71"/>
      <c r="D43" s="71"/>
      <c r="E43" s="71"/>
      <c r="F43" s="72"/>
      <c r="G43" s="72" t="s">
        <v>224</v>
      </c>
      <c r="H43" s="88">
        <f t="shared" ref="H43:AO43" si="8">SUM(H42)/SUM($H$42:$AO$42)</f>
        <v>0</v>
      </c>
      <c r="I43" s="88">
        <f t="shared" si="8"/>
        <v>0</v>
      </c>
      <c r="J43" s="88">
        <f t="shared" si="8"/>
        <v>0</v>
      </c>
      <c r="K43" s="88">
        <f t="shared" si="8"/>
        <v>0</v>
      </c>
      <c r="L43" s="88">
        <f t="shared" si="8"/>
        <v>0</v>
      </c>
      <c r="M43" s="88">
        <f t="shared" si="8"/>
        <v>0</v>
      </c>
      <c r="N43" s="88">
        <f t="shared" si="8"/>
        <v>0</v>
      </c>
      <c r="O43" s="89">
        <f t="shared" si="8"/>
        <v>0</v>
      </c>
      <c r="P43" s="88">
        <f t="shared" si="8"/>
        <v>0</v>
      </c>
      <c r="Q43" s="88">
        <f t="shared" si="8"/>
        <v>0</v>
      </c>
      <c r="R43" s="88">
        <f t="shared" si="8"/>
        <v>0</v>
      </c>
      <c r="S43" s="88">
        <f t="shared" si="8"/>
        <v>0.34090909090909088</v>
      </c>
      <c r="T43" s="88">
        <f t="shared" si="8"/>
        <v>0.34090909090909088</v>
      </c>
      <c r="U43" s="88">
        <f t="shared" si="8"/>
        <v>0.31818181818181818</v>
      </c>
      <c r="V43" s="88">
        <f t="shared" si="8"/>
        <v>0</v>
      </c>
      <c r="W43" s="88">
        <f t="shared" si="8"/>
        <v>0</v>
      </c>
      <c r="X43" s="88">
        <f t="shared" si="8"/>
        <v>0</v>
      </c>
      <c r="Y43" s="88">
        <f t="shared" si="8"/>
        <v>0</v>
      </c>
      <c r="Z43" s="88">
        <f t="shared" si="8"/>
        <v>0</v>
      </c>
      <c r="AA43" s="88">
        <f t="shared" si="8"/>
        <v>0</v>
      </c>
      <c r="AB43" s="88">
        <f t="shared" si="8"/>
        <v>0</v>
      </c>
      <c r="AC43" s="88">
        <f t="shared" si="8"/>
        <v>0</v>
      </c>
      <c r="AD43" s="88">
        <f t="shared" si="8"/>
        <v>0</v>
      </c>
      <c r="AE43" s="88">
        <f t="shared" si="8"/>
        <v>0</v>
      </c>
      <c r="AF43" s="88">
        <f t="shared" si="8"/>
        <v>0</v>
      </c>
      <c r="AG43" s="88">
        <f t="shared" si="8"/>
        <v>0</v>
      </c>
      <c r="AH43" s="88">
        <f t="shared" si="8"/>
        <v>0</v>
      </c>
      <c r="AI43" s="88">
        <f t="shared" si="8"/>
        <v>0</v>
      </c>
      <c r="AJ43" s="88">
        <f t="shared" si="8"/>
        <v>0</v>
      </c>
      <c r="AK43" s="88">
        <f t="shared" si="8"/>
        <v>0</v>
      </c>
      <c r="AL43" s="88">
        <f t="shared" si="8"/>
        <v>0</v>
      </c>
      <c r="AM43" s="88">
        <f t="shared" si="8"/>
        <v>0</v>
      </c>
      <c r="AN43" s="88">
        <f t="shared" si="8"/>
        <v>0</v>
      </c>
      <c r="AO43" s="88">
        <f t="shared" si="8"/>
        <v>0</v>
      </c>
    </row>
    <row r="44" spans="1:41" s="2" customFormat="1" x14ac:dyDescent="0.25">
      <c r="A44" s="71">
        <v>20</v>
      </c>
      <c r="B44" s="80" t="s">
        <v>212</v>
      </c>
      <c r="C44" s="90" t="e">
        <f>IF(B44&lt;&gt;0,(VLOOKUP($B44,сотрудники!$B$4:$D$217,2,0)),0)</f>
        <v>#N/A</v>
      </c>
      <c r="D44" s="71" t="e">
        <f>IF(C44&lt;&gt;0,(VLOOKUP($B44,сотрудники!$B$4:$D$217,3,0)),0)</f>
        <v>#N/A</v>
      </c>
      <c r="E44" s="71" t="e">
        <f>IF(D44&lt;&gt;0,(VLOOKUP($B44,сотрудники!$B$4:$E$217,4,0)),0)</f>
        <v>#N/A</v>
      </c>
      <c r="F44" s="72">
        <f>SUM(G44:AO44)</f>
        <v>176</v>
      </c>
      <c r="G44" s="72"/>
      <c r="H44" s="73">
        <v>176</v>
      </c>
      <c r="I44" s="73"/>
      <c r="J44" s="73"/>
      <c r="K44" s="73"/>
      <c r="L44" s="73"/>
      <c r="M44" s="73"/>
      <c r="N44" s="73"/>
      <c r="O44" s="81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</row>
    <row r="45" spans="1:41" s="2" customFormat="1" x14ac:dyDescent="0.25">
      <c r="A45" s="71"/>
      <c r="B45" s="80"/>
      <c r="C45" s="71"/>
      <c r="D45" s="71"/>
      <c r="E45" s="71"/>
      <c r="F45" s="72"/>
      <c r="G45" s="72"/>
      <c r="H45" s="73"/>
      <c r="I45" s="73"/>
      <c r="J45" s="73"/>
      <c r="K45" s="73"/>
      <c r="L45" s="73"/>
      <c r="M45" s="73"/>
      <c r="N45" s="73"/>
      <c r="O45" s="81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</row>
    <row r="46" spans="1:41" s="2" customFormat="1" x14ac:dyDescent="0.25">
      <c r="A46" s="71">
        <v>21</v>
      </c>
      <c r="B46" s="80" t="s">
        <v>213</v>
      </c>
      <c r="C46" s="90" t="e">
        <f>IF(B46&lt;&gt;0,(VLOOKUP($B46,сотрудники!$B$4:$D$217,2,0)),0)</f>
        <v>#N/A</v>
      </c>
      <c r="D46" s="71" t="e">
        <f>IF(C46&lt;&gt;0,(VLOOKUP($B46,сотрудники!$B$4:$D$217,3,0)),0)</f>
        <v>#N/A</v>
      </c>
      <c r="E46" s="71" t="e">
        <f>IF(D46&lt;&gt;0,(VLOOKUP($B46,сотрудники!$B$4:$E$217,4,0)),0)</f>
        <v>#N/A</v>
      </c>
      <c r="F46" s="72">
        <f>SUM(G46:AO46)</f>
        <v>165</v>
      </c>
      <c r="G46" s="72"/>
      <c r="H46" s="73"/>
      <c r="I46" s="73"/>
      <c r="J46" s="73"/>
      <c r="K46" s="73"/>
      <c r="L46" s="73"/>
      <c r="M46" s="73"/>
      <c r="N46" s="73"/>
      <c r="O46" s="81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>
        <v>71</v>
      </c>
      <c r="AM46" s="73">
        <v>94</v>
      </c>
      <c r="AN46" s="73"/>
      <c r="AO46" s="73"/>
    </row>
    <row r="47" spans="1:41" s="2" customFormat="1" x14ac:dyDescent="0.25">
      <c r="A47" s="71"/>
      <c r="B47" s="80"/>
      <c r="C47" s="71"/>
      <c r="D47" s="71"/>
      <c r="E47" s="71"/>
      <c r="F47" s="72"/>
      <c r="G47" s="72" t="s">
        <v>224</v>
      </c>
      <c r="H47" s="88">
        <f t="shared" ref="H47:AO47" si="9">SUM(H46)/SUM($H$46:$AO$46)</f>
        <v>0</v>
      </c>
      <c r="I47" s="88">
        <f t="shared" si="9"/>
        <v>0</v>
      </c>
      <c r="J47" s="88">
        <f t="shared" si="9"/>
        <v>0</v>
      </c>
      <c r="K47" s="88">
        <f t="shared" si="9"/>
        <v>0</v>
      </c>
      <c r="L47" s="88">
        <f t="shared" si="9"/>
        <v>0</v>
      </c>
      <c r="M47" s="88">
        <f t="shared" si="9"/>
        <v>0</v>
      </c>
      <c r="N47" s="88">
        <f t="shared" si="9"/>
        <v>0</v>
      </c>
      <c r="O47" s="89">
        <f t="shared" si="9"/>
        <v>0</v>
      </c>
      <c r="P47" s="88">
        <f t="shared" si="9"/>
        <v>0</v>
      </c>
      <c r="Q47" s="88">
        <f t="shared" si="9"/>
        <v>0</v>
      </c>
      <c r="R47" s="88">
        <f t="shared" si="9"/>
        <v>0</v>
      </c>
      <c r="S47" s="88">
        <f t="shared" si="9"/>
        <v>0</v>
      </c>
      <c r="T47" s="88">
        <f t="shared" si="9"/>
        <v>0</v>
      </c>
      <c r="U47" s="88">
        <f t="shared" si="9"/>
        <v>0</v>
      </c>
      <c r="V47" s="88">
        <f t="shared" si="9"/>
        <v>0</v>
      </c>
      <c r="W47" s="88">
        <f t="shared" si="9"/>
        <v>0</v>
      </c>
      <c r="X47" s="88">
        <f t="shared" si="9"/>
        <v>0</v>
      </c>
      <c r="Y47" s="88">
        <f t="shared" si="9"/>
        <v>0</v>
      </c>
      <c r="Z47" s="88">
        <f t="shared" si="9"/>
        <v>0</v>
      </c>
      <c r="AA47" s="88">
        <f t="shared" si="9"/>
        <v>0</v>
      </c>
      <c r="AB47" s="88">
        <f t="shared" si="9"/>
        <v>0</v>
      </c>
      <c r="AC47" s="88">
        <f t="shared" si="9"/>
        <v>0</v>
      </c>
      <c r="AD47" s="88">
        <f t="shared" si="9"/>
        <v>0</v>
      </c>
      <c r="AE47" s="88">
        <f t="shared" si="9"/>
        <v>0</v>
      </c>
      <c r="AF47" s="88">
        <f t="shared" si="9"/>
        <v>0</v>
      </c>
      <c r="AG47" s="88">
        <f t="shared" si="9"/>
        <v>0</v>
      </c>
      <c r="AH47" s="88">
        <f t="shared" si="9"/>
        <v>0</v>
      </c>
      <c r="AI47" s="88">
        <f t="shared" si="9"/>
        <v>0</v>
      </c>
      <c r="AJ47" s="88">
        <f t="shared" si="9"/>
        <v>0</v>
      </c>
      <c r="AK47" s="88">
        <f t="shared" si="9"/>
        <v>0</v>
      </c>
      <c r="AL47" s="88">
        <f t="shared" si="9"/>
        <v>0.4303030303030303</v>
      </c>
      <c r="AM47" s="88">
        <f t="shared" si="9"/>
        <v>0.5696969696969697</v>
      </c>
      <c r="AN47" s="88">
        <f t="shared" si="9"/>
        <v>0</v>
      </c>
      <c r="AO47" s="88">
        <f t="shared" si="9"/>
        <v>0</v>
      </c>
    </row>
    <row r="48" spans="1:41" s="2" customFormat="1" x14ac:dyDescent="0.25">
      <c r="A48" s="71">
        <v>22</v>
      </c>
      <c r="B48" s="80" t="s">
        <v>214</v>
      </c>
      <c r="C48" s="90" t="e">
        <f>IF(B48&lt;&gt;0,(VLOOKUP($B48,сотрудники!$B$4:$D$217,2,0)),0)</f>
        <v>#N/A</v>
      </c>
      <c r="D48" s="71" t="e">
        <f>IF(C48&lt;&gt;0,(VLOOKUP($B48,сотрудники!$B$4:$D$217,3,0)),0)</f>
        <v>#N/A</v>
      </c>
      <c r="E48" s="71" t="e">
        <f>IF(D48&lt;&gt;0,(VLOOKUP($B48,сотрудники!$B$4:$E$217,4,0)),0)</f>
        <v>#N/A</v>
      </c>
      <c r="F48" s="72">
        <f>SUM(G48:AO48)</f>
        <v>136</v>
      </c>
      <c r="G48" s="72"/>
      <c r="H48" s="73"/>
      <c r="I48" s="73"/>
      <c r="J48" s="73">
        <v>136</v>
      </c>
      <c r="K48" s="73"/>
      <c r="L48" s="73"/>
      <c r="M48" s="73"/>
      <c r="N48" s="73"/>
      <c r="O48" s="81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</row>
    <row r="49" spans="1:41" s="2" customFormat="1" x14ac:dyDescent="0.25">
      <c r="A49" s="71"/>
      <c r="B49" s="80"/>
      <c r="C49" s="71"/>
      <c r="D49" s="71"/>
      <c r="E49" s="71"/>
      <c r="F49" s="72"/>
      <c r="G49" s="72" t="s">
        <v>224</v>
      </c>
      <c r="H49" s="88">
        <f t="shared" ref="H49:AO49" si="10">SUM(H48)/SUM($H$48:$AO$48)</f>
        <v>0</v>
      </c>
      <c r="I49" s="88">
        <f t="shared" si="10"/>
        <v>0</v>
      </c>
      <c r="J49" s="88">
        <f t="shared" si="10"/>
        <v>1</v>
      </c>
      <c r="K49" s="88">
        <f t="shared" si="10"/>
        <v>0</v>
      </c>
      <c r="L49" s="88">
        <f t="shared" si="10"/>
        <v>0</v>
      </c>
      <c r="M49" s="88">
        <f t="shared" si="10"/>
        <v>0</v>
      </c>
      <c r="N49" s="88">
        <f t="shared" si="10"/>
        <v>0</v>
      </c>
      <c r="O49" s="89">
        <f t="shared" si="10"/>
        <v>0</v>
      </c>
      <c r="P49" s="88"/>
      <c r="Q49" s="88">
        <f t="shared" si="10"/>
        <v>0</v>
      </c>
      <c r="R49" s="88">
        <f t="shared" si="10"/>
        <v>0</v>
      </c>
      <c r="S49" s="88">
        <f t="shared" si="10"/>
        <v>0</v>
      </c>
      <c r="T49" s="88">
        <f t="shared" si="10"/>
        <v>0</v>
      </c>
      <c r="U49" s="88">
        <f t="shared" si="10"/>
        <v>0</v>
      </c>
      <c r="V49" s="88">
        <f t="shared" si="10"/>
        <v>0</v>
      </c>
      <c r="W49" s="88">
        <f t="shared" si="10"/>
        <v>0</v>
      </c>
      <c r="X49" s="88">
        <f t="shared" si="10"/>
        <v>0</v>
      </c>
      <c r="Y49" s="88">
        <f t="shared" si="10"/>
        <v>0</v>
      </c>
      <c r="Z49" s="88">
        <f t="shared" si="10"/>
        <v>0</v>
      </c>
      <c r="AA49" s="88">
        <f t="shared" si="10"/>
        <v>0</v>
      </c>
      <c r="AB49" s="88">
        <f t="shared" si="10"/>
        <v>0</v>
      </c>
      <c r="AC49" s="88">
        <f t="shared" si="10"/>
        <v>0</v>
      </c>
      <c r="AD49" s="88">
        <f t="shared" si="10"/>
        <v>0</v>
      </c>
      <c r="AE49" s="88">
        <f t="shared" si="10"/>
        <v>0</v>
      </c>
      <c r="AF49" s="88">
        <f t="shared" si="10"/>
        <v>0</v>
      </c>
      <c r="AG49" s="88">
        <f t="shared" si="10"/>
        <v>0</v>
      </c>
      <c r="AH49" s="88">
        <f t="shared" si="10"/>
        <v>0</v>
      </c>
      <c r="AI49" s="88">
        <f t="shared" si="10"/>
        <v>0</v>
      </c>
      <c r="AJ49" s="88">
        <f t="shared" si="10"/>
        <v>0</v>
      </c>
      <c r="AK49" s="88">
        <f t="shared" si="10"/>
        <v>0</v>
      </c>
      <c r="AL49" s="88">
        <f t="shared" si="10"/>
        <v>0</v>
      </c>
      <c r="AM49" s="88">
        <f t="shared" si="10"/>
        <v>0</v>
      </c>
      <c r="AN49" s="88">
        <f t="shared" si="10"/>
        <v>0</v>
      </c>
      <c r="AO49" s="88">
        <f t="shared" si="10"/>
        <v>0</v>
      </c>
    </row>
    <row r="50" spans="1:41" s="2" customFormat="1" x14ac:dyDescent="0.25">
      <c r="A50" s="71">
        <v>23</v>
      </c>
      <c r="B50" s="80" t="s">
        <v>215</v>
      </c>
      <c r="C50" s="90" t="e">
        <f>IF(B50&lt;&gt;0,(VLOOKUP($B50,сотрудники!$B$4:$D$217,2,0)),0)</f>
        <v>#N/A</v>
      </c>
      <c r="D50" s="71" t="e">
        <f>IF(C50&lt;&gt;0,(VLOOKUP($B50,сотрудники!$B$4:$D$217,3,0)),0)</f>
        <v>#N/A</v>
      </c>
      <c r="E50" s="71" t="e">
        <f>IF(D50&lt;&gt;0,(VLOOKUP($B50,сотрудники!$B$4:$E$217,4,0)),0)</f>
        <v>#N/A</v>
      </c>
      <c r="F50" s="72">
        <f>SUM(G50:AO50)</f>
        <v>154</v>
      </c>
      <c r="G50" s="72"/>
      <c r="H50" s="73"/>
      <c r="I50" s="73"/>
      <c r="J50" s="73"/>
      <c r="K50" s="73"/>
      <c r="L50" s="73"/>
      <c r="M50" s="73"/>
      <c r="N50" s="73"/>
      <c r="O50" s="81"/>
      <c r="P50" s="73">
        <v>154</v>
      </c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</row>
    <row r="51" spans="1:41" s="2" customFormat="1" x14ac:dyDescent="0.25">
      <c r="A51" s="71"/>
      <c r="B51" s="80"/>
      <c r="C51" s="71"/>
      <c r="D51" s="71"/>
      <c r="E51" s="71"/>
      <c r="F51" s="72"/>
      <c r="G51" s="72"/>
      <c r="H51" s="73"/>
      <c r="I51" s="73"/>
      <c r="J51" s="73"/>
      <c r="K51" s="73"/>
      <c r="L51" s="73"/>
      <c r="M51" s="73"/>
      <c r="N51" s="73"/>
      <c r="O51" s="81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</row>
    <row r="52" spans="1:41" s="2" customFormat="1" x14ac:dyDescent="0.25">
      <c r="A52" s="71">
        <v>24</v>
      </c>
      <c r="B52" s="80" t="s">
        <v>217</v>
      </c>
      <c r="C52" s="90" t="e">
        <f>IF(B52&lt;&gt;0,(VLOOKUP($B52,сотрудники!$B$4:$D$217,2,0)),0)</f>
        <v>#N/A</v>
      </c>
      <c r="D52" s="71" t="e">
        <f>IF(C52&lt;&gt;0,(VLOOKUP($B52,сотрудники!$B$4:$D$217,3,0)),0)</f>
        <v>#N/A</v>
      </c>
      <c r="E52" s="71" t="e">
        <f>IF(D52&lt;&gt;0,(VLOOKUP($B52,сотрудники!$B$4:$E$217,4,0)),0)</f>
        <v>#N/A</v>
      </c>
      <c r="F52" s="72">
        <f>SUM(G52:AO52)</f>
        <v>176</v>
      </c>
      <c r="G52" s="72"/>
      <c r="H52" s="73"/>
      <c r="I52" s="73"/>
      <c r="J52" s="73">
        <v>176</v>
      </c>
      <c r="K52" s="73"/>
      <c r="L52" s="73"/>
      <c r="M52" s="73"/>
      <c r="N52" s="73"/>
      <c r="O52" s="81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</row>
    <row r="53" spans="1:41" s="2" customFormat="1" x14ac:dyDescent="0.25">
      <c r="A53" s="71"/>
      <c r="B53" s="80"/>
      <c r="C53" s="71"/>
      <c r="D53" s="71"/>
      <c r="E53" s="71"/>
      <c r="F53" s="72"/>
      <c r="G53" s="72"/>
      <c r="H53" s="73"/>
      <c r="I53" s="73"/>
      <c r="J53" s="73"/>
      <c r="K53" s="73"/>
      <c r="L53" s="73"/>
      <c r="M53" s="73"/>
      <c r="N53" s="73"/>
      <c r="O53" s="81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</row>
    <row r="54" spans="1:41" s="2" customFormat="1" x14ac:dyDescent="0.25">
      <c r="A54" s="71">
        <v>25</v>
      </c>
      <c r="B54" s="80" t="s">
        <v>218</v>
      </c>
      <c r="C54" s="90" t="e">
        <f>IF(B54&lt;&gt;0,(VLOOKUP($B54,сотрудники!$B$4:$D$217,2,0)),0)</f>
        <v>#N/A</v>
      </c>
      <c r="D54" s="71" t="e">
        <f>IF(C54&lt;&gt;0,(VLOOKUP($B54,сотрудники!$B$4:$D$217,3,0)),0)</f>
        <v>#N/A</v>
      </c>
      <c r="E54" s="71" t="e">
        <f>IF(D54&lt;&gt;0,(VLOOKUP($B54,сотрудники!$B$4:$E$217,4,0)),0)</f>
        <v>#N/A</v>
      </c>
      <c r="F54" s="72">
        <f>SUM(G54:AO54)</f>
        <v>132</v>
      </c>
      <c r="G54" s="72"/>
      <c r="H54" s="73"/>
      <c r="I54" s="73"/>
      <c r="J54" s="73"/>
      <c r="K54" s="73"/>
      <c r="L54" s="73"/>
      <c r="M54" s="73"/>
      <c r="N54" s="73"/>
      <c r="O54" s="81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>
        <v>132</v>
      </c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</row>
    <row r="55" spans="1:41" s="2" customFormat="1" x14ac:dyDescent="0.25">
      <c r="A55" s="71"/>
      <c r="B55" s="80"/>
      <c r="C55" s="71"/>
      <c r="D55" s="71"/>
      <c r="E55" s="71"/>
      <c r="F55" s="72"/>
      <c r="G55" s="72"/>
      <c r="H55" s="73"/>
      <c r="I55" s="73"/>
      <c r="J55" s="73"/>
      <c r="K55" s="73"/>
      <c r="L55" s="73"/>
      <c r="M55" s="73"/>
      <c r="N55" s="73"/>
      <c r="O55" s="81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</row>
    <row r="56" spans="1:41" s="2" customFormat="1" x14ac:dyDescent="0.25">
      <c r="A56" s="71">
        <v>26</v>
      </c>
      <c r="B56" s="80" t="s">
        <v>219</v>
      </c>
      <c r="C56" s="90" t="e">
        <f>IF(B56&lt;&gt;0,(VLOOKUP($B56,сотрудники!$B$4:$D$217,2,0)),0)</f>
        <v>#N/A</v>
      </c>
      <c r="D56" s="71" t="e">
        <f>IF(C56&lt;&gt;0,(VLOOKUP($B56,сотрудники!$B$4:$D$217,3,0)),0)</f>
        <v>#N/A</v>
      </c>
      <c r="E56" s="71" t="e">
        <f>IF(D56&lt;&gt;0,(VLOOKUP($B56,сотрудники!$B$4:$E$217,4,0)),0)</f>
        <v>#N/A</v>
      </c>
      <c r="F56" s="72">
        <f>SUM(G56:AO56)</f>
        <v>184</v>
      </c>
      <c r="G56" s="72"/>
      <c r="H56" s="73"/>
      <c r="I56" s="73"/>
      <c r="J56" s="73"/>
      <c r="K56" s="73"/>
      <c r="L56" s="73"/>
      <c r="M56" s="73"/>
      <c r="N56" s="73"/>
      <c r="O56" s="81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>
        <v>184</v>
      </c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</row>
    <row r="57" spans="1:41" s="2" customFormat="1" x14ac:dyDescent="0.25">
      <c r="A57" s="71"/>
      <c r="B57" s="80"/>
      <c r="C57" s="71"/>
      <c r="D57" s="71"/>
      <c r="E57" s="71"/>
      <c r="F57" s="72"/>
      <c r="G57" s="72"/>
      <c r="H57" s="73"/>
      <c r="I57" s="73"/>
      <c r="J57" s="73"/>
      <c r="K57" s="73"/>
      <c r="L57" s="73"/>
      <c r="M57" s="73"/>
      <c r="N57" s="73"/>
      <c r="O57" s="81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</row>
    <row r="58" spans="1:41" s="2" customFormat="1" x14ac:dyDescent="0.25">
      <c r="A58" s="71">
        <v>27</v>
      </c>
      <c r="B58" s="80" t="s">
        <v>222</v>
      </c>
      <c r="C58" s="90" t="e">
        <f>IF(B58&lt;&gt;0,(VLOOKUP($B58,сотрудники!$B$4:$D$217,2,0)),0)</f>
        <v>#N/A</v>
      </c>
      <c r="D58" s="71" t="e">
        <f>IF(C58&lt;&gt;0,(VLOOKUP($B58,сотрудники!$B$4:$D$217,3,0)),0)</f>
        <v>#N/A</v>
      </c>
      <c r="E58" s="71" t="e">
        <f>IF(D58&lt;&gt;0,(VLOOKUP($B58,сотрудники!$B$4:$E$217,4,0)),0)</f>
        <v>#N/A</v>
      </c>
      <c r="F58" s="72">
        <f>SUM(G58:AO58)</f>
        <v>165</v>
      </c>
      <c r="G58" s="72"/>
      <c r="H58" s="73">
        <v>165</v>
      </c>
      <c r="I58" s="73"/>
      <c r="J58" s="73"/>
      <c r="K58" s="73"/>
      <c r="L58" s="73"/>
      <c r="M58" s="73"/>
      <c r="N58" s="73"/>
      <c r="O58" s="81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</row>
    <row r="59" spans="1:41" s="2" customFormat="1" x14ac:dyDescent="0.25">
      <c r="A59" s="71"/>
      <c r="B59" s="80"/>
      <c r="C59" s="71"/>
      <c r="D59" s="71"/>
      <c r="E59" s="71"/>
      <c r="F59" s="72"/>
      <c r="G59" s="72"/>
      <c r="H59" s="73"/>
      <c r="I59" s="73"/>
      <c r="J59" s="73"/>
      <c r="K59" s="73"/>
      <c r="L59" s="73"/>
      <c r="M59" s="73"/>
      <c r="N59" s="73"/>
      <c r="O59" s="81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</row>
    <row r="60" spans="1:41" s="2" customFormat="1" x14ac:dyDescent="0.25">
      <c r="A60" s="71">
        <v>28</v>
      </c>
      <c r="B60" s="80" t="s">
        <v>223</v>
      </c>
      <c r="C60" s="90" t="e">
        <f>IF(B60&lt;&gt;0,(VLOOKUP($B60,сотрудники!$B$4:$D$217,2,0)),0)</f>
        <v>#N/A</v>
      </c>
      <c r="D60" s="71" t="e">
        <f>IF(C60&lt;&gt;0,(VLOOKUP($B60,сотрудники!$B$4:$D$217,3,0)),0)</f>
        <v>#N/A</v>
      </c>
      <c r="E60" s="71" t="e">
        <f>IF(D60&lt;&gt;0,(VLOOKUP($B60,сотрудники!$B$4:$E$217,4,0)),0)</f>
        <v>#N/A</v>
      </c>
      <c r="F60" s="72">
        <f>SUM(G60:AO60)</f>
        <v>176</v>
      </c>
      <c r="G60" s="72"/>
      <c r="H60" s="73"/>
      <c r="I60" s="73"/>
      <c r="J60" s="73"/>
      <c r="K60" s="73"/>
      <c r="L60" s="73"/>
      <c r="M60" s="73"/>
      <c r="N60" s="73"/>
      <c r="O60" s="81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>
        <v>176</v>
      </c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</row>
  </sheetData>
  <autoFilter ref="A4:AO56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8">
    <mergeCell ref="F4:F5"/>
    <mergeCell ref="H4:AO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8" sqref="H2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119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9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250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151</v>
      </c>
      <c r="G6" s="72"/>
      <c r="H6" s="73">
        <v>6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5</v>
      </c>
      <c r="S6" s="73">
        <v>5</v>
      </c>
      <c r="T6" s="73">
        <v>5</v>
      </c>
      <c r="U6" s="73">
        <v>5</v>
      </c>
      <c r="V6" s="73">
        <v>5</v>
      </c>
      <c r="W6" s="73"/>
      <c r="X6" s="73">
        <v>40</v>
      </c>
      <c r="Y6" s="73">
        <v>1</v>
      </c>
      <c r="Z6" s="73">
        <v>9</v>
      </c>
      <c r="AA6" s="73"/>
      <c r="AB6" s="73"/>
      <c r="AC6" s="73"/>
      <c r="AD6" s="73"/>
      <c r="AE6" s="73"/>
      <c r="AF6" s="73"/>
      <c r="AG6" s="73"/>
      <c r="AH6" s="73"/>
      <c r="AI6" s="73">
        <v>20</v>
      </c>
      <c r="AJ6" s="73">
        <v>10</v>
      </c>
      <c r="AK6" s="73"/>
      <c r="AL6" s="73"/>
      <c r="AM6" s="73"/>
      <c r="AN6" s="73"/>
      <c r="AO6" s="73"/>
      <c r="AP6" s="73">
        <v>10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3.9735099337748346E-2</v>
      </c>
      <c r="I7" s="88">
        <f t="shared" si="1"/>
        <v>6.6225165562913912E-2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6.6225165562913912E-2</v>
      </c>
      <c r="R7" s="95">
        <f t="shared" si="1"/>
        <v>3.3112582781456956E-2</v>
      </c>
      <c r="S7" s="95">
        <f t="shared" si="1"/>
        <v>3.3112582781456956E-2</v>
      </c>
      <c r="T7" s="95">
        <f t="shared" si="1"/>
        <v>3.3112582781456956E-2</v>
      </c>
      <c r="U7" s="95">
        <f t="shared" si="1"/>
        <v>3.3112582781456956E-2</v>
      </c>
      <c r="V7" s="95">
        <f t="shared" si="1"/>
        <v>3.3112582781456956E-2</v>
      </c>
      <c r="W7" s="95">
        <f t="shared" si="1"/>
        <v>0</v>
      </c>
      <c r="X7" s="95">
        <f t="shared" si="1"/>
        <v>0.26490066225165565</v>
      </c>
      <c r="Y7" s="95">
        <f t="shared" si="1"/>
        <v>6.6225165562913907E-3</v>
      </c>
      <c r="Z7" s="95">
        <f t="shared" si="1"/>
        <v>5.9602649006622516E-2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0.13245033112582782</v>
      </c>
      <c r="AJ7" s="95">
        <f t="shared" si="1"/>
        <v>6.6225165562913912E-2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6.6225165562913912E-2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151</v>
      </c>
      <c r="G8" s="72"/>
      <c r="H8" s="73">
        <v>10</v>
      </c>
      <c r="I8" s="73">
        <v>10</v>
      </c>
      <c r="J8" s="73">
        <v>10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40</v>
      </c>
      <c r="AM8" s="73">
        <v>36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6.6225165562913912E-2</v>
      </c>
      <c r="I9" s="95">
        <f t="shared" si="2"/>
        <v>6.6225165562913912E-2</v>
      </c>
      <c r="J9" s="95">
        <f t="shared" si="2"/>
        <v>6.6225165562913912E-2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0.27152317880794702</v>
      </c>
      <c r="AL9" s="96">
        <f t="shared" si="2"/>
        <v>0.26490066225165565</v>
      </c>
      <c r="AM9" s="96">
        <f t="shared" si="2"/>
        <v>0.23841059602649006</v>
      </c>
      <c r="AN9" s="96">
        <f t="shared" si="2"/>
        <v>2.6490066225165563E-2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111</v>
      </c>
      <c r="G10" s="72"/>
      <c r="H10" s="73">
        <v>10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40</v>
      </c>
      <c r="AH10" s="73">
        <v>10</v>
      </c>
      <c r="AI10" s="73"/>
      <c r="AJ10" s="73">
        <v>5</v>
      </c>
      <c r="AK10" s="73"/>
      <c r="AL10" s="73"/>
      <c r="AM10" s="73"/>
      <c r="AN10" s="73"/>
      <c r="AO10" s="73"/>
      <c r="AP10" s="73"/>
      <c r="AQ10" s="73">
        <v>6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0.99999999999999989</v>
      </c>
      <c r="G11" s="72" t="s">
        <v>224</v>
      </c>
      <c r="H11" s="98">
        <f t="shared" ref="H11:AT11" si="3">SUM(H10)/SUM($H$10:$AT$10)</f>
        <v>9.0090090090090086E-2</v>
      </c>
      <c r="I11" s="98">
        <f t="shared" si="3"/>
        <v>0.18018018018018017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9.0090090090090086E-2</v>
      </c>
      <c r="R11" s="98">
        <f t="shared" si="3"/>
        <v>0</v>
      </c>
      <c r="S11" s="98">
        <f t="shared" si="3"/>
        <v>0</v>
      </c>
      <c r="T11" s="98">
        <f t="shared" si="3"/>
        <v>9.0090090090090086E-2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0.36036036036036034</v>
      </c>
      <c r="AH11" s="98">
        <f t="shared" si="3"/>
        <v>9.0090090090090086E-2</v>
      </c>
      <c r="AI11" s="98">
        <f t="shared" si="3"/>
        <v>0</v>
      </c>
      <c r="AJ11" s="98">
        <f t="shared" si="3"/>
        <v>4.5045045045045043E-2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5.4054054054054057E-2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151</v>
      </c>
      <c r="G12" s="72"/>
      <c r="H12" s="73">
        <v>45</v>
      </c>
      <c r="I12" s="73"/>
      <c r="J12" s="73"/>
      <c r="K12" s="73"/>
      <c r="L12" s="73"/>
      <c r="M12" s="73"/>
      <c r="N12" s="73">
        <v>15</v>
      </c>
      <c r="O12" s="73"/>
      <c r="P12" s="81"/>
      <c r="Q12" s="73">
        <v>11</v>
      </c>
      <c r="R12" s="73"/>
      <c r="S12" s="73"/>
      <c r="T12" s="73"/>
      <c r="U12" s="73">
        <v>10</v>
      </c>
      <c r="V12" s="73">
        <v>10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10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0.29801324503311261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9.9337748344370855E-2</v>
      </c>
      <c r="O13" s="88">
        <f t="shared" si="4"/>
        <v>0</v>
      </c>
      <c r="P13" s="89">
        <f t="shared" si="4"/>
        <v>0</v>
      </c>
      <c r="Q13" s="88">
        <f t="shared" si="4"/>
        <v>7.2847682119205295E-2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6.6225165562913912E-2</v>
      </c>
      <c r="V13" s="88">
        <f t="shared" si="4"/>
        <v>6.6225165562913912E-2</v>
      </c>
      <c r="W13" s="88">
        <f t="shared" si="4"/>
        <v>0</v>
      </c>
      <c r="X13" s="88">
        <f t="shared" si="4"/>
        <v>6.6225165562913912E-2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6.6225165562913912E-2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0.26490066225165565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AR4:AT4"/>
    <mergeCell ref="L4:M4"/>
    <mergeCell ref="AG4:AP4"/>
    <mergeCell ref="H4:K4"/>
    <mergeCell ref="N4:O4"/>
    <mergeCell ref="P4:P5"/>
    <mergeCell ref="Q4:X4"/>
    <mergeCell ref="Y4:Z4"/>
    <mergeCell ref="AA4:AF4"/>
    <mergeCell ref="F4:F5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8" sqref="H28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119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250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151</v>
      </c>
      <c r="G6" s="72"/>
      <c r="H6" s="73">
        <v>6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5</v>
      </c>
      <c r="S6" s="73">
        <v>5</v>
      </c>
      <c r="T6" s="73">
        <v>5</v>
      </c>
      <c r="U6" s="73">
        <v>5</v>
      </c>
      <c r="V6" s="73">
        <v>5</v>
      </c>
      <c r="W6" s="73"/>
      <c r="X6" s="73">
        <v>40</v>
      </c>
      <c r="Y6" s="73">
        <v>1</v>
      </c>
      <c r="Z6" s="73">
        <v>9</v>
      </c>
      <c r="AA6" s="73"/>
      <c r="AB6" s="73"/>
      <c r="AC6" s="73"/>
      <c r="AD6" s="73"/>
      <c r="AE6" s="73"/>
      <c r="AF6" s="73"/>
      <c r="AG6" s="73"/>
      <c r="AH6" s="73"/>
      <c r="AI6" s="73">
        <v>20</v>
      </c>
      <c r="AJ6" s="73">
        <v>10</v>
      </c>
      <c r="AK6" s="73"/>
      <c r="AL6" s="73"/>
      <c r="AM6" s="73"/>
      <c r="AN6" s="73"/>
      <c r="AO6" s="73"/>
      <c r="AP6" s="73">
        <v>10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3.9735099337748346E-2</v>
      </c>
      <c r="I7" s="88">
        <f t="shared" si="1"/>
        <v>6.6225165562913912E-2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6.6225165562913912E-2</v>
      </c>
      <c r="R7" s="95">
        <f t="shared" si="1"/>
        <v>3.3112582781456956E-2</v>
      </c>
      <c r="S7" s="95">
        <f t="shared" si="1"/>
        <v>3.3112582781456956E-2</v>
      </c>
      <c r="T7" s="95">
        <f t="shared" si="1"/>
        <v>3.3112582781456956E-2</v>
      </c>
      <c r="U7" s="95">
        <f t="shared" si="1"/>
        <v>3.3112582781456956E-2</v>
      </c>
      <c r="V7" s="95">
        <f t="shared" si="1"/>
        <v>3.3112582781456956E-2</v>
      </c>
      <c r="W7" s="95">
        <f t="shared" si="1"/>
        <v>0</v>
      </c>
      <c r="X7" s="95">
        <f t="shared" si="1"/>
        <v>0.26490066225165565</v>
      </c>
      <c r="Y7" s="95">
        <f t="shared" si="1"/>
        <v>6.6225165562913907E-3</v>
      </c>
      <c r="Z7" s="95">
        <f t="shared" si="1"/>
        <v>5.9602649006622516E-2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0.13245033112582782</v>
      </c>
      <c r="AJ7" s="95">
        <f t="shared" si="1"/>
        <v>6.6225165562913912E-2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6.6225165562913912E-2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151</v>
      </c>
      <c r="G8" s="72"/>
      <c r="H8" s="73">
        <v>10</v>
      </c>
      <c r="I8" s="73">
        <v>10</v>
      </c>
      <c r="J8" s="73">
        <v>10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40</v>
      </c>
      <c r="AM8" s="73">
        <v>36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6.6225165562913912E-2</v>
      </c>
      <c r="I9" s="95">
        <f t="shared" si="2"/>
        <v>6.6225165562913912E-2</v>
      </c>
      <c r="J9" s="95">
        <f t="shared" si="2"/>
        <v>6.6225165562913912E-2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0.27152317880794702</v>
      </c>
      <c r="AL9" s="96">
        <f t="shared" si="2"/>
        <v>0.26490066225165565</v>
      </c>
      <c r="AM9" s="96">
        <f t="shared" si="2"/>
        <v>0.23841059602649006</v>
      </c>
      <c r="AN9" s="96">
        <f t="shared" si="2"/>
        <v>2.6490066225165563E-2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111</v>
      </c>
      <c r="G10" s="72"/>
      <c r="H10" s="73">
        <v>10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10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40</v>
      </c>
      <c r="AH10" s="73">
        <v>10</v>
      </c>
      <c r="AI10" s="73"/>
      <c r="AJ10" s="73">
        <v>5</v>
      </c>
      <c r="AK10" s="73"/>
      <c r="AL10" s="73"/>
      <c r="AM10" s="73"/>
      <c r="AN10" s="73"/>
      <c r="AO10" s="73"/>
      <c r="AP10" s="73"/>
      <c r="AQ10" s="73">
        <v>6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0.99999999999999989</v>
      </c>
      <c r="G11" s="72" t="s">
        <v>224</v>
      </c>
      <c r="H11" s="98">
        <f t="shared" ref="H11:AT11" si="3">SUM(H10)/SUM($H$10:$AT$10)</f>
        <v>9.0090090090090086E-2</v>
      </c>
      <c r="I11" s="98">
        <f t="shared" si="3"/>
        <v>0.18018018018018017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9.0090090090090086E-2</v>
      </c>
      <c r="R11" s="98">
        <f t="shared" si="3"/>
        <v>0</v>
      </c>
      <c r="S11" s="98">
        <f t="shared" si="3"/>
        <v>0</v>
      </c>
      <c r="T11" s="98">
        <f t="shared" si="3"/>
        <v>9.0090090090090086E-2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0.36036036036036034</v>
      </c>
      <c r="AH11" s="98">
        <f t="shared" si="3"/>
        <v>9.0090090090090086E-2</v>
      </c>
      <c r="AI11" s="98">
        <f t="shared" si="3"/>
        <v>0</v>
      </c>
      <c r="AJ11" s="98">
        <f t="shared" si="3"/>
        <v>4.5045045045045043E-2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5.4054054054054057E-2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151</v>
      </c>
      <c r="G12" s="72"/>
      <c r="H12" s="73">
        <v>45</v>
      </c>
      <c r="I12" s="73"/>
      <c r="J12" s="73"/>
      <c r="K12" s="73"/>
      <c r="L12" s="73"/>
      <c r="M12" s="73"/>
      <c r="N12" s="73">
        <v>15</v>
      </c>
      <c r="O12" s="73"/>
      <c r="P12" s="81"/>
      <c r="Q12" s="73">
        <v>11</v>
      </c>
      <c r="R12" s="73"/>
      <c r="S12" s="73"/>
      <c r="T12" s="73"/>
      <c r="U12" s="73">
        <v>10</v>
      </c>
      <c r="V12" s="73">
        <v>10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10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0.29801324503311261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9.9337748344370855E-2</v>
      </c>
      <c r="O13" s="88">
        <f t="shared" si="4"/>
        <v>0</v>
      </c>
      <c r="P13" s="89">
        <f t="shared" si="4"/>
        <v>0</v>
      </c>
      <c r="Q13" s="88">
        <f t="shared" si="4"/>
        <v>7.2847682119205295E-2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6.6225165562913912E-2</v>
      </c>
      <c r="V13" s="88">
        <f t="shared" si="4"/>
        <v>6.6225165562913912E-2</v>
      </c>
      <c r="W13" s="88">
        <f t="shared" si="4"/>
        <v>0</v>
      </c>
      <c r="X13" s="88">
        <f t="shared" si="4"/>
        <v>6.6225165562913912E-2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6.6225165562913912E-2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0.26490066225165565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121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2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168</v>
      </c>
      <c r="G6" s="72"/>
      <c r="H6" s="73">
        <v>8</v>
      </c>
      <c r="I6" s="73">
        <v>8</v>
      </c>
      <c r="J6" s="73">
        <v>8</v>
      </c>
      <c r="K6" s="73"/>
      <c r="L6" s="73"/>
      <c r="M6" s="73"/>
      <c r="N6" s="73"/>
      <c r="O6" s="73"/>
      <c r="P6" s="81"/>
      <c r="Q6" s="73">
        <v>8</v>
      </c>
      <c r="R6" s="73">
        <v>6</v>
      </c>
      <c r="S6" s="73">
        <v>6</v>
      </c>
      <c r="T6" s="73">
        <v>6</v>
      </c>
      <c r="U6" s="73">
        <v>6</v>
      </c>
      <c r="V6" s="73">
        <v>6</v>
      </c>
      <c r="W6" s="73"/>
      <c r="X6" s="73">
        <v>42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0.99999999999999989</v>
      </c>
      <c r="G7" s="72" t="s">
        <v>224</v>
      </c>
      <c r="H7" s="88">
        <f t="shared" ref="H7:AT7" si="1">SUM(H6)/SUM($H$6:$AT$6)</f>
        <v>4.7619047619047616E-2</v>
      </c>
      <c r="I7" s="88">
        <f t="shared" si="1"/>
        <v>4.7619047619047616E-2</v>
      </c>
      <c r="J7" s="88">
        <f t="shared" si="1"/>
        <v>4.7619047619047616E-2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4.7619047619047616E-2</v>
      </c>
      <c r="R7" s="95">
        <f t="shared" si="1"/>
        <v>3.5714285714285712E-2</v>
      </c>
      <c r="S7" s="95">
        <f t="shared" si="1"/>
        <v>3.5714285714285712E-2</v>
      </c>
      <c r="T7" s="95">
        <f t="shared" si="1"/>
        <v>3.5714285714285712E-2</v>
      </c>
      <c r="U7" s="95">
        <f t="shared" si="1"/>
        <v>3.5714285714285712E-2</v>
      </c>
      <c r="V7" s="95">
        <f t="shared" si="1"/>
        <v>3.5714285714285712E-2</v>
      </c>
      <c r="W7" s="95">
        <f t="shared" si="1"/>
        <v>0</v>
      </c>
      <c r="X7" s="95">
        <f t="shared" si="1"/>
        <v>0.25</v>
      </c>
      <c r="Y7" s="95">
        <f t="shared" si="1"/>
        <v>1.1904761904761904E-2</v>
      </c>
      <c r="Z7" s="95">
        <f t="shared" si="1"/>
        <v>5.9523809523809521E-2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0.14285714285714285</v>
      </c>
      <c r="AJ7" s="95">
        <f t="shared" si="1"/>
        <v>7.1428571428571425E-2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9.5238095238095233E-2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88</v>
      </c>
      <c r="G8" s="72"/>
      <c r="H8" s="73">
        <v>4</v>
      </c>
      <c r="I8" s="73">
        <v>4</v>
      </c>
      <c r="J8" s="73">
        <v>4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26</v>
      </c>
      <c r="AL8" s="73">
        <v>28</v>
      </c>
      <c r="AM8" s="73">
        <v>20</v>
      </c>
      <c r="AN8" s="73">
        <v>2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4.5454545454545456E-2</v>
      </c>
      <c r="I9" s="95">
        <f t="shared" si="2"/>
        <v>4.5454545454545456E-2</v>
      </c>
      <c r="J9" s="95">
        <f t="shared" si="2"/>
        <v>4.5454545454545456E-2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0.29545454545454547</v>
      </c>
      <c r="AL9" s="96">
        <f t="shared" si="2"/>
        <v>0.31818181818181818</v>
      </c>
      <c r="AM9" s="96">
        <f t="shared" si="2"/>
        <v>0.22727272727272727</v>
      </c>
      <c r="AN9" s="96">
        <f t="shared" si="2"/>
        <v>2.2727272727272728E-2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168</v>
      </c>
      <c r="G10" s="72"/>
      <c r="H10" s="73">
        <v>30</v>
      </c>
      <c r="I10" s="73">
        <v>20</v>
      </c>
      <c r="J10" s="73"/>
      <c r="K10" s="73"/>
      <c r="L10" s="73"/>
      <c r="M10" s="73"/>
      <c r="N10" s="73"/>
      <c r="O10" s="73"/>
      <c r="P10" s="81"/>
      <c r="Q10" s="73">
        <v>12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1.0000000000000002</v>
      </c>
      <c r="G11" s="72" t="s">
        <v>224</v>
      </c>
      <c r="H11" s="98">
        <f t="shared" ref="H11:AT11" si="3">SUM(H10)/SUM($H$10:$AT$10)</f>
        <v>0.17857142857142858</v>
      </c>
      <c r="I11" s="98">
        <f t="shared" si="3"/>
        <v>0.11904761904761904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7.1428571428571425E-2</v>
      </c>
      <c r="R11" s="98">
        <f t="shared" si="3"/>
        <v>0</v>
      </c>
      <c r="S11" s="98">
        <f t="shared" si="3"/>
        <v>0</v>
      </c>
      <c r="T11" s="98">
        <f t="shared" si="3"/>
        <v>5.9523809523809521E-2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0.35714285714285715</v>
      </c>
      <c r="AH11" s="98">
        <f t="shared" si="3"/>
        <v>0.11904761904761904</v>
      </c>
      <c r="AI11" s="98">
        <f t="shared" si="3"/>
        <v>0</v>
      </c>
      <c r="AJ11" s="98">
        <f t="shared" si="3"/>
        <v>4.7619047619047616E-2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4.7619047619047616E-2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168</v>
      </c>
      <c r="G12" s="72"/>
      <c r="H12" s="73">
        <v>48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14</v>
      </c>
      <c r="R12" s="73"/>
      <c r="S12" s="73"/>
      <c r="T12" s="73"/>
      <c r="U12" s="73">
        <v>12</v>
      </c>
      <c r="V12" s="73">
        <v>12</v>
      </c>
      <c r="W12" s="73"/>
      <c r="X12" s="73">
        <v>10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1</v>
      </c>
      <c r="G13" s="72" t="s">
        <v>224</v>
      </c>
      <c r="H13" s="88">
        <f t="shared" ref="H13:AT13" si="4">SUM(H12)/SUM($H$12:$AT$12)</f>
        <v>0.2857142857142857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0.11904761904761904</v>
      </c>
      <c r="O13" s="88">
        <f t="shared" si="4"/>
        <v>0</v>
      </c>
      <c r="P13" s="89">
        <f t="shared" si="4"/>
        <v>0</v>
      </c>
      <c r="Q13" s="88">
        <f t="shared" si="4"/>
        <v>8.3333333333333329E-2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7.1428571428571425E-2</v>
      </c>
      <c r="V13" s="88">
        <f t="shared" si="4"/>
        <v>7.1428571428571425E-2</v>
      </c>
      <c r="W13" s="88">
        <f t="shared" si="4"/>
        <v>0</v>
      </c>
      <c r="X13" s="88">
        <f t="shared" si="4"/>
        <v>5.9523809523809521E-2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7.1428571428571425E-2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0.23809523809523808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122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3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184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8</v>
      </c>
      <c r="S6" s="73">
        <v>8</v>
      </c>
      <c r="T6" s="73">
        <v>8</v>
      </c>
      <c r="U6" s="73">
        <v>6</v>
      </c>
      <c r="V6" s="73">
        <v>6</v>
      </c>
      <c r="W6" s="73"/>
      <c r="X6" s="73">
        <v>44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</v>
      </c>
      <c r="G7" s="72" t="s">
        <v>224</v>
      </c>
      <c r="H7" s="88">
        <f t="shared" ref="H7:AT7" si="1">SUM(H6)/SUM($H$6:$AT$6)</f>
        <v>5.434782608695652E-2</v>
      </c>
      <c r="I7" s="88">
        <f t="shared" si="1"/>
        <v>5.434782608695652E-2</v>
      </c>
      <c r="J7" s="88">
        <f t="shared" si="1"/>
        <v>5.434782608695652E-2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5.434782608695652E-2</v>
      </c>
      <c r="R7" s="95">
        <f t="shared" si="1"/>
        <v>4.3478260869565216E-2</v>
      </c>
      <c r="S7" s="95">
        <f t="shared" si="1"/>
        <v>4.3478260869565216E-2</v>
      </c>
      <c r="T7" s="95">
        <f t="shared" si="1"/>
        <v>4.3478260869565216E-2</v>
      </c>
      <c r="U7" s="95">
        <f t="shared" si="1"/>
        <v>3.2608695652173912E-2</v>
      </c>
      <c r="V7" s="95">
        <f t="shared" si="1"/>
        <v>3.2608695652173912E-2</v>
      </c>
      <c r="W7" s="95">
        <f t="shared" si="1"/>
        <v>0</v>
      </c>
      <c r="X7" s="95">
        <f t="shared" si="1"/>
        <v>0.2391304347826087</v>
      </c>
      <c r="Y7" s="95">
        <f t="shared" si="1"/>
        <v>1.0869565217391304E-2</v>
      </c>
      <c r="Z7" s="95">
        <f t="shared" si="1"/>
        <v>5.434782608695652E-2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0.13043478260869565</v>
      </c>
      <c r="AJ7" s="95">
        <f t="shared" si="1"/>
        <v>6.5217391304347824E-2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8.6956521739130432E-2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184</v>
      </c>
      <c r="G8" s="72"/>
      <c r="H8" s="73">
        <v>20</v>
      </c>
      <c r="I8" s="73">
        <v>20</v>
      </c>
      <c r="J8" s="73">
        <v>20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46</v>
      </c>
      <c r="AL8" s="73">
        <v>45</v>
      </c>
      <c r="AM8" s="73">
        <v>30</v>
      </c>
      <c r="AN8" s="73">
        <v>3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0.10869565217391304</v>
      </c>
      <c r="I9" s="95">
        <f t="shared" si="2"/>
        <v>0.10869565217391304</v>
      </c>
      <c r="J9" s="95">
        <f t="shared" si="2"/>
        <v>0.10869565217391304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0.25</v>
      </c>
      <c r="AL9" s="96">
        <f t="shared" si="2"/>
        <v>0.24456521739130435</v>
      </c>
      <c r="AM9" s="96">
        <f t="shared" si="2"/>
        <v>0.16304347826086957</v>
      </c>
      <c r="AN9" s="96">
        <f t="shared" si="2"/>
        <v>1.6304347826086956E-2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184</v>
      </c>
      <c r="G10" s="72"/>
      <c r="H10" s="73">
        <v>40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8</v>
      </c>
      <c r="R10" s="73"/>
      <c r="S10" s="73"/>
      <c r="T10" s="73">
        <v>10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0.21739130434782608</v>
      </c>
      <c r="I11" s="98">
        <f t="shared" si="3"/>
        <v>0.16304347826086957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4.3478260869565216E-2</v>
      </c>
      <c r="R11" s="98">
        <f t="shared" si="3"/>
        <v>0</v>
      </c>
      <c r="S11" s="98">
        <f t="shared" si="3"/>
        <v>0</v>
      </c>
      <c r="T11" s="98">
        <f t="shared" si="3"/>
        <v>5.434782608695652E-2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0.32608695652173914</v>
      </c>
      <c r="AH11" s="98">
        <f t="shared" si="3"/>
        <v>0.10869565217391304</v>
      </c>
      <c r="AI11" s="98">
        <f t="shared" si="3"/>
        <v>0</v>
      </c>
      <c r="AJ11" s="98">
        <f t="shared" si="3"/>
        <v>4.3478260869565216E-2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4.3478260869565216E-2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184</v>
      </c>
      <c r="G12" s="72"/>
      <c r="H12" s="73">
        <v>56</v>
      </c>
      <c r="I12" s="73"/>
      <c r="J12" s="73"/>
      <c r="K12" s="73"/>
      <c r="L12" s="73"/>
      <c r="M12" s="73"/>
      <c r="N12" s="73">
        <v>20</v>
      </c>
      <c r="O12" s="73"/>
      <c r="P12" s="81"/>
      <c r="Q12" s="73">
        <v>18</v>
      </c>
      <c r="R12" s="73"/>
      <c r="S12" s="73"/>
      <c r="T12" s="73"/>
      <c r="U12" s="73">
        <v>12</v>
      </c>
      <c r="V12" s="73">
        <v>12</v>
      </c>
      <c r="W12" s="73"/>
      <c r="X12" s="73">
        <v>14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0.99999999999999989</v>
      </c>
      <c r="G13" s="72" t="s">
        <v>224</v>
      </c>
      <c r="H13" s="88">
        <f t="shared" ref="H13:AT13" si="4">SUM(H12)/SUM($H$12:$AT$12)</f>
        <v>0.30434782608695654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0.10869565217391304</v>
      </c>
      <c r="O13" s="88">
        <f t="shared" si="4"/>
        <v>0</v>
      </c>
      <c r="P13" s="89">
        <f t="shared" si="4"/>
        <v>0</v>
      </c>
      <c r="Q13" s="88">
        <f t="shared" si="4"/>
        <v>9.7826086956521743E-2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6.5217391304347824E-2</v>
      </c>
      <c r="V13" s="88">
        <f t="shared" si="4"/>
        <v>6.5217391304347824E-2</v>
      </c>
      <c r="W13" s="88">
        <f t="shared" si="4"/>
        <v>0</v>
      </c>
      <c r="X13" s="88">
        <f t="shared" si="4"/>
        <v>7.6086956521739135E-2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6.5217391304347824E-2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0.21739130434782608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2" sqref="C12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123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4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167</v>
      </c>
      <c r="G6" s="72"/>
      <c r="H6" s="73">
        <v>8</v>
      </c>
      <c r="I6" s="73">
        <v>8</v>
      </c>
      <c r="J6" s="73">
        <v>8</v>
      </c>
      <c r="K6" s="73"/>
      <c r="L6" s="73"/>
      <c r="M6" s="73"/>
      <c r="N6" s="73"/>
      <c r="O6" s="73"/>
      <c r="P6" s="81"/>
      <c r="Q6" s="73">
        <v>17</v>
      </c>
      <c r="R6" s="73">
        <v>4</v>
      </c>
      <c r="S6" s="73">
        <v>4</v>
      </c>
      <c r="T6" s="73">
        <v>6</v>
      </c>
      <c r="U6" s="73">
        <v>4</v>
      </c>
      <c r="V6" s="73">
        <v>4</v>
      </c>
      <c r="W6" s="73"/>
      <c r="X6" s="73">
        <v>40</v>
      </c>
      <c r="Y6" s="73">
        <v>2</v>
      </c>
      <c r="Z6" s="73">
        <v>10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3" si="0">SUM(H7:AT7)</f>
        <v>1.0000000000000002</v>
      </c>
      <c r="G7" s="72" t="s">
        <v>224</v>
      </c>
      <c r="H7" s="88">
        <f t="shared" ref="H7:AT7" si="1">SUM(H6)/SUM($H$6:$AT$6)</f>
        <v>4.790419161676647E-2</v>
      </c>
      <c r="I7" s="88">
        <f t="shared" si="1"/>
        <v>4.790419161676647E-2</v>
      </c>
      <c r="J7" s="88">
        <f t="shared" si="1"/>
        <v>4.790419161676647E-2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0.10179640718562874</v>
      </c>
      <c r="R7" s="95">
        <f t="shared" si="1"/>
        <v>2.3952095808383235E-2</v>
      </c>
      <c r="S7" s="95">
        <f t="shared" si="1"/>
        <v>2.3952095808383235E-2</v>
      </c>
      <c r="T7" s="95">
        <f t="shared" si="1"/>
        <v>3.5928143712574849E-2</v>
      </c>
      <c r="U7" s="95">
        <f t="shared" si="1"/>
        <v>2.3952095808383235E-2</v>
      </c>
      <c r="V7" s="95">
        <f t="shared" si="1"/>
        <v>2.3952095808383235E-2</v>
      </c>
      <c r="W7" s="95">
        <f t="shared" si="1"/>
        <v>0</v>
      </c>
      <c r="X7" s="95">
        <f t="shared" si="1"/>
        <v>0.23952095808383234</v>
      </c>
      <c r="Y7" s="95">
        <f t="shared" si="1"/>
        <v>1.1976047904191617E-2</v>
      </c>
      <c r="Z7" s="95">
        <f t="shared" si="1"/>
        <v>5.9880239520958084E-2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0.1437125748502994</v>
      </c>
      <c r="AJ7" s="95">
        <f t="shared" si="1"/>
        <v>7.1856287425149698E-2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9.580838323353294E-2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18</v>
      </c>
      <c r="I8" s="73">
        <v>18</v>
      </c>
      <c r="J8" s="73">
        <v>18</v>
      </c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41</v>
      </c>
      <c r="AL8" s="73">
        <v>42</v>
      </c>
      <c r="AM8" s="73">
        <v>28</v>
      </c>
      <c r="AN8" s="73">
        <v>2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T9" si="2">SUM(H8)/SUM($H$8:$AT$8)</f>
        <v>0.10778443113772455</v>
      </c>
      <c r="I9" s="95">
        <f t="shared" si="2"/>
        <v>0.10778443113772455</v>
      </c>
      <c r="J9" s="95">
        <f t="shared" si="2"/>
        <v>0.10778443113772455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0.24550898203592814</v>
      </c>
      <c r="AL9" s="96">
        <f t="shared" si="2"/>
        <v>0.25149700598802394</v>
      </c>
      <c r="AM9" s="96">
        <f t="shared" si="2"/>
        <v>0.16766467065868262</v>
      </c>
      <c r="AN9" s="96">
        <f t="shared" si="2"/>
        <v>1.1976047904191617E-2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37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4</v>
      </c>
      <c r="R10" s="73"/>
      <c r="S10" s="73"/>
      <c r="T10" s="73">
        <v>4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8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1.0000000000000002</v>
      </c>
      <c r="G11" s="72" t="s">
        <v>224</v>
      </c>
      <c r="H11" s="98">
        <f t="shared" ref="H11:AT11" si="3">SUM(H10)/SUM($H$10:$AT$10)</f>
        <v>0.22155688622754491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2.3952095808383235E-2</v>
      </c>
      <c r="R11" s="98">
        <f t="shared" si="3"/>
        <v>0</v>
      </c>
      <c r="S11" s="98">
        <f t="shared" si="3"/>
        <v>0</v>
      </c>
      <c r="T11" s="98">
        <f t="shared" si="3"/>
        <v>2.3952095808383235E-2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0.3592814371257485</v>
      </c>
      <c r="AH11" s="98">
        <f t="shared" si="3"/>
        <v>0.11976047904191617</v>
      </c>
      <c r="AI11" s="98">
        <f t="shared" si="3"/>
        <v>0</v>
      </c>
      <c r="AJ11" s="98">
        <f t="shared" si="3"/>
        <v>4.790419161676647E-2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4.790419161676647E-2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  <row r="12" spans="1:46" x14ac:dyDescent="0.25">
      <c r="A12" s="71">
        <v>4</v>
      </c>
      <c r="B12" s="80" t="s">
        <v>273</v>
      </c>
      <c r="C12" s="90" t="str">
        <f>IF(B12&lt;&gt;0,(VLOOKUP($B12,сотрудники!$B$4:$D$217,2,0)),0)</f>
        <v>Меньщиков А.В.</v>
      </c>
      <c r="D12" s="71" t="str">
        <f>IF(C12&lt;&gt;0,(VLOOKUP($B12,сотрудники!$B$4:$D$217,3,0)),0)</f>
        <v>Ведущий инженер</v>
      </c>
      <c r="E12" s="71">
        <f>IF(D12&lt;&gt;0,(VLOOKUP($B12,сотрудники!$B$4:$E$217,4,0)),0)</f>
        <v>0</v>
      </c>
      <c r="F12" s="72">
        <f t="shared" si="0"/>
        <v>167</v>
      </c>
      <c r="G12" s="72"/>
      <c r="H12" s="73">
        <v>56</v>
      </c>
      <c r="I12" s="73"/>
      <c r="J12" s="73"/>
      <c r="K12" s="73"/>
      <c r="L12" s="73"/>
      <c r="M12" s="73"/>
      <c r="N12" s="73">
        <v>19</v>
      </c>
      <c r="O12" s="73"/>
      <c r="P12" s="81"/>
      <c r="Q12" s="73">
        <v>14</v>
      </c>
      <c r="R12" s="73"/>
      <c r="S12" s="73"/>
      <c r="T12" s="73"/>
      <c r="U12" s="73">
        <v>6</v>
      </c>
      <c r="V12" s="73">
        <v>6</v>
      </c>
      <c r="W12" s="73"/>
      <c r="X12" s="73">
        <v>14</v>
      </c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>
        <v>12</v>
      </c>
      <c r="AM12" s="73"/>
      <c r="AN12" s="73"/>
      <c r="AO12" s="73"/>
      <c r="AP12" s="73"/>
      <c r="AQ12" s="73">
        <v>40</v>
      </c>
      <c r="AR12" s="73"/>
      <c r="AS12" s="73"/>
      <c r="AT12" s="73"/>
    </row>
    <row r="13" spans="1:46" x14ac:dyDescent="0.25">
      <c r="A13" s="71"/>
      <c r="B13" s="80"/>
      <c r="C13" s="71"/>
      <c r="D13" s="71"/>
      <c r="E13" s="71"/>
      <c r="F13" s="72">
        <f t="shared" si="0"/>
        <v>0.99999999999999989</v>
      </c>
      <c r="G13" s="72" t="s">
        <v>224</v>
      </c>
      <c r="H13" s="88">
        <f t="shared" ref="H13:AT13" si="4">SUM(H12)/SUM($H$12:$AT$12)</f>
        <v>0.33532934131736525</v>
      </c>
      <c r="I13" s="88">
        <f t="shared" si="4"/>
        <v>0</v>
      </c>
      <c r="J13" s="88">
        <f t="shared" si="4"/>
        <v>0</v>
      </c>
      <c r="K13" s="88">
        <f t="shared" si="4"/>
        <v>0</v>
      </c>
      <c r="L13" s="88">
        <f t="shared" si="4"/>
        <v>0</v>
      </c>
      <c r="M13" s="88">
        <f t="shared" si="4"/>
        <v>0</v>
      </c>
      <c r="N13" s="88">
        <f t="shared" si="4"/>
        <v>0.11377245508982035</v>
      </c>
      <c r="O13" s="88">
        <f t="shared" si="4"/>
        <v>0</v>
      </c>
      <c r="P13" s="89">
        <f t="shared" si="4"/>
        <v>0</v>
      </c>
      <c r="Q13" s="88">
        <f t="shared" si="4"/>
        <v>8.3832335329341312E-2</v>
      </c>
      <c r="R13" s="88">
        <f t="shared" si="4"/>
        <v>0</v>
      </c>
      <c r="S13" s="88">
        <f t="shared" si="4"/>
        <v>0</v>
      </c>
      <c r="T13" s="88">
        <f t="shared" si="4"/>
        <v>0</v>
      </c>
      <c r="U13" s="88">
        <f t="shared" si="4"/>
        <v>3.5928143712574849E-2</v>
      </c>
      <c r="V13" s="88">
        <f t="shared" si="4"/>
        <v>3.5928143712574849E-2</v>
      </c>
      <c r="W13" s="88">
        <f t="shared" si="4"/>
        <v>0</v>
      </c>
      <c r="X13" s="88">
        <f t="shared" si="4"/>
        <v>8.3832335329341312E-2</v>
      </c>
      <c r="Y13" s="88">
        <f t="shared" si="4"/>
        <v>0</v>
      </c>
      <c r="Z13" s="88">
        <f t="shared" si="4"/>
        <v>0</v>
      </c>
      <c r="AA13" s="88">
        <f t="shared" si="4"/>
        <v>0</v>
      </c>
      <c r="AB13" s="88">
        <f t="shared" si="4"/>
        <v>0</v>
      </c>
      <c r="AC13" s="88">
        <f t="shared" si="4"/>
        <v>0</v>
      </c>
      <c r="AD13" s="88">
        <f t="shared" si="4"/>
        <v>0</v>
      </c>
      <c r="AE13" s="88">
        <f t="shared" si="4"/>
        <v>0</v>
      </c>
      <c r="AF13" s="88">
        <f t="shared" si="4"/>
        <v>0</v>
      </c>
      <c r="AG13" s="88">
        <f t="shared" si="4"/>
        <v>0</v>
      </c>
      <c r="AH13" s="88">
        <f t="shared" si="4"/>
        <v>0</v>
      </c>
      <c r="AI13" s="88">
        <f t="shared" si="4"/>
        <v>0</v>
      </c>
      <c r="AJ13" s="88">
        <f t="shared" si="4"/>
        <v>0</v>
      </c>
      <c r="AK13" s="88">
        <f t="shared" si="4"/>
        <v>0</v>
      </c>
      <c r="AL13" s="92">
        <f t="shared" si="4"/>
        <v>7.1856287425149698E-2</v>
      </c>
      <c r="AM13" s="92">
        <f t="shared" si="4"/>
        <v>0</v>
      </c>
      <c r="AN13" s="92">
        <f t="shared" si="4"/>
        <v>0</v>
      </c>
      <c r="AO13" s="88">
        <f t="shared" si="4"/>
        <v>0</v>
      </c>
      <c r="AP13" s="88">
        <f t="shared" si="4"/>
        <v>0</v>
      </c>
      <c r="AQ13" s="88">
        <f t="shared" si="4"/>
        <v>0.23952095808383234</v>
      </c>
      <c r="AR13" s="88">
        <f t="shared" si="4"/>
        <v>0</v>
      </c>
      <c r="AS13" s="88">
        <f t="shared" si="4"/>
        <v>0</v>
      </c>
      <c r="AT13" s="88">
        <f t="shared" si="4"/>
        <v>0</v>
      </c>
    </row>
  </sheetData>
  <autoFilter ref="A4:AQ13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E4:E5"/>
    <mergeCell ref="A1:D1"/>
    <mergeCell ref="A4:A5"/>
    <mergeCell ref="B4:B5"/>
    <mergeCell ref="C4:C5"/>
    <mergeCell ref="D4:D5"/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I11"/>
  <sheetViews>
    <sheetView showGridLines="0" showZeros="0" zoomScaleNormal="10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V1" sqref="V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19" width="11.42578125" style="2" customWidth="1"/>
    <col min="20" max="20" width="10.7109375" style="2" customWidth="1"/>
    <col min="21" max="23" width="8.85546875" style="2" customWidth="1"/>
    <col min="24" max="24" width="11.28515625" style="2" customWidth="1"/>
    <col min="25" max="25" width="12.28515625" style="2" customWidth="1"/>
    <col min="26" max="26" width="13.28515625" style="2" customWidth="1"/>
    <col min="27" max="27" width="12.140625" style="2" customWidth="1"/>
    <col min="28" max="28" width="12.7109375" style="2" customWidth="1"/>
    <col min="29" max="29" width="11.85546875" style="2" customWidth="1"/>
    <col min="30" max="30" width="12.5703125" style="2" customWidth="1"/>
    <col min="31" max="31" width="15" style="2" customWidth="1"/>
    <col min="32" max="32" width="8.85546875" style="2" customWidth="1"/>
    <col min="33" max="33" width="11" style="2" customWidth="1"/>
    <col min="34" max="34" width="14.42578125" style="2" customWidth="1"/>
    <col min="35" max="36" width="11.28515625" style="2" customWidth="1"/>
    <col min="37" max="37" width="12.42578125" style="2" customWidth="1"/>
    <col min="38" max="38" width="11.140625" style="2" customWidth="1"/>
    <col min="39" max="40" width="10.85546875" style="2" customWidth="1"/>
    <col min="41" max="41" width="8.85546875" style="2"/>
    <col min="42" max="42" width="11" style="2" customWidth="1"/>
    <col min="43" max="43" width="10.5703125" style="2" customWidth="1"/>
    <col min="44" max="46" width="14.140625" style="2" customWidth="1"/>
    <col min="47" max="61" width="8.85546875" style="2"/>
    <col min="62" max="16384" width="8.85546875" style="1"/>
  </cols>
  <sheetData>
    <row r="1" spans="1:46" ht="18.75" x14ac:dyDescent="0.3">
      <c r="A1" s="121" t="s">
        <v>180</v>
      </c>
      <c r="B1" s="121"/>
      <c r="C1" s="121"/>
      <c r="D1" s="121"/>
      <c r="E1" s="8" t="s">
        <v>107</v>
      </c>
      <c r="F1" s="9" t="s">
        <v>114</v>
      </c>
      <c r="G1" s="9"/>
    </row>
    <row r="2" spans="1:46" x14ac:dyDescent="0.25">
      <c r="C2" s="2"/>
    </row>
    <row r="3" spans="1:46" x14ac:dyDescent="0.25">
      <c r="C3" s="2"/>
    </row>
    <row r="4" spans="1:46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39"/>
      <c r="Y4" s="138" t="s">
        <v>241</v>
      </c>
      <c r="Z4" s="139"/>
      <c r="AA4" s="138" t="s">
        <v>242</v>
      </c>
      <c r="AB4" s="140"/>
      <c r="AC4" s="140"/>
      <c r="AD4" s="140"/>
      <c r="AE4" s="140"/>
      <c r="AF4" s="139"/>
      <c r="AG4" s="138" t="s">
        <v>237</v>
      </c>
      <c r="AH4" s="140"/>
      <c r="AI4" s="140"/>
      <c r="AJ4" s="140"/>
      <c r="AK4" s="140"/>
      <c r="AL4" s="140"/>
      <c r="AM4" s="140"/>
      <c r="AN4" s="140"/>
      <c r="AO4" s="140"/>
      <c r="AP4" s="139"/>
      <c r="AQ4" s="93"/>
      <c r="AR4" s="141" t="s">
        <v>244</v>
      </c>
      <c r="AS4" s="142"/>
      <c r="AT4" s="142"/>
    </row>
    <row r="5" spans="1:46" s="3" customFormat="1" ht="111" customHeight="1" x14ac:dyDescent="0.25">
      <c r="A5" s="134"/>
      <c r="B5" s="134"/>
      <c r="C5" s="134"/>
      <c r="D5" s="134"/>
      <c r="E5" s="134"/>
      <c r="F5" s="136"/>
      <c r="G5" s="105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233</v>
      </c>
      <c r="U5" s="6" t="s">
        <v>231</v>
      </c>
      <c r="V5" s="6" t="s">
        <v>229</v>
      </c>
      <c r="W5" s="6" t="s">
        <v>230</v>
      </c>
      <c r="X5" s="6" t="s">
        <v>254</v>
      </c>
      <c r="Y5" s="6" t="s">
        <v>255</v>
      </c>
      <c r="Z5" s="6" t="s">
        <v>226</v>
      </c>
      <c r="AA5" s="6" t="s">
        <v>253</v>
      </c>
      <c r="AB5" s="6" t="s">
        <v>256</v>
      </c>
      <c r="AC5" s="6" t="s">
        <v>257</v>
      </c>
      <c r="AD5" s="6" t="s">
        <v>258</v>
      </c>
      <c r="AE5" s="6" t="s">
        <v>259</v>
      </c>
      <c r="AF5" s="6" t="s">
        <v>228</v>
      </c>
      <c r="AG5" s="6" t="s">
        <v>260</v>
      </c>
      <c r="AH5" s="6" t="s">
        <v>227</v>
      </c>
      <c r="AI5" s="6" t="s">
        <v>265</v>
      </c>
      <c r="AJ5" s="6" t="s">
        <v>266</v>
      </c>
      <c r="AK5" s="6" t="s">
        <v>267</v>
      </c>
      <c r="AL5" s="6" t="s">
        <v>261</v>
      </c>
      <c r="AM5" s="6" t="s">
        <v>262</v>
      </c>
      <c r="AN5" s="6" t="s">
        <v>263</v>
      </c>
      <c r="AO5" s="6" t="s">
        <v>264</v>
      </c>
      <c r="AP5" s="6" t="s">
        <v>225</v>
      </c>
      <c r="AQ5" s="6" t="s">
        <v>236</v>
      </c>
      <c r="AR5" s="6" t="s">
        <v>243</v>
      </c>
      <c r="AS5" s="6" t="s">
        <v>245</v>
      </c>
      <c r="AT5" s="6" t="s">
        <v>246</v>
      </c>
    </row>
    <row r="6" spans="1:46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SUM(H6:AT6)</f>
        <v>136</v>
      </c>
      <c r="G6" s="72"/>
      <c r="H6" s="73">
        <v>10</v>
      </c>
      <c r="I6" s="73">
        <v>10</v>
      </c>
      <c r="J6" s="73">
        <v>10</v>
      </c>
      <c r="K6" s="73"/>
      <c r="L6" s="73"/>
      <c r="M6" s="73"/>
      <c r="N6" s="73"/>
      <c r="O6" s="73"/>
      <c r="P6" s="81"/>
      <c r="Q6" s="73">
        <v>10</v>
      </c>
      <c r="R6" s="73">
        <v>2</v>
      </c>
      <c r="S6" s="73">
        <v>2</v>
      </c>
      <c r="T6" s="73">
        <v>2</v>
      </c>
      <c r="U6" s="73">
        <v>4</v>
      </c>
      <c r="V6" s="73">
        <v>4</v>
      </c>
      <c r="W6" s="73"/>
      <c r="X6" s="73">
        <v>20</v>
      </c>
      <c r="Y6" s="73">
        <v>2</v>
      </c>
      <c r="Z6" s="73">
        <v>8</v>
      </c>
      <c r="AA6" s="73"/>
      <c r="AB6" s="73"/>
      <c r="AC6" s="73"/>
      <c r="AD6" s="73"/>
      <c r="AE6" s="73"/>
      <c r="AF6" s="73"/>
      <c r="AG6" s="73"/>
      <c r="AH6" s="73"/>
      <c r="AI6" s="73">
        <v>24</v>
      </c>
      <c r="AJ6" s="73">
        <v>12</v>
      </c>
      <c r="AK6" s="73"/>
      <c r="AL6" s="73"/>
      <c r="AM6" s="73"/>
      <c r="AN6" s="73"/>
      <c r="AO6" s="73"/>
      <c r="AP6" s="73">
        <v>16</v>
      </c>
      <c r="AQ6" s="73"/>
      <c r="AR6" s="73"/>
      <c r="AS6" s="73"/>
      <c r="AT6" s="73"/>
    </row>
    <row r="7" spans="1:46" x14ac:dyDescent="0.25">
      <c r="A7" s="71"/>
      <c r="B7" s="80"/>
      <c r="C7" s="71"/>
      <c r="D7" s="71"/>
      <c r="E7" s="71"/>
      <c r="F7" s="72">
        <f t="shared" ref="F7:F11" si="0">SUM(H7:AT7)</f>
        <v>1</v>
      </c>
      <c r="G7" s="72" t="s">
        <v>224</v>
      </c>
      <c r="H7" s="88">
        <f t="shared" ref="H7:AT7" si="1">SUM(H6)/SUM($H$6:$AT$6)</f>
        <v>7.3529411764705885E-2</v>
      </c>
      <c r="I7" s="88">
        <f t="shared" si="1"/>
        <v>7.3529411764705885E-2</v>
      </c>
      <c r="J7" s="88">
        <f t="shared" si="1"/>
        <v>7.3529411764705885E-2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0</v>
      </c>
      <c r="O7" s="88">
        <f t="shared" si="1"/>
        <v>0</v>
      </c>
      <c r="P7" s="89">
        <f t="shared" si="1"/>
        <v>0</v>
      </c>
      <c r="Q7" s="95">
        <f t="shared" si="1"/>
        <v>7.3529411764705885E-2</v>
      </c>
      <c r="R7" s="95">
        <f t="shared" si="1"/>
        <v>1.4705882352941176E-2</v>
      </c>
      <c r="S7" s="95">
        <f t="shared" si="1"/>
        <v>1.4705882352941176E-2</v>
      </c>
      <c r="T7" s="95">
        <f t="shared" si="1"/>
        <v>1.4705882352941176E-2</v>
      </c>
      <c r="U7" s="95">
        <f t="shared" si="1"/>
        <v>2.9411764705882353E-2</v>
      </c>
      <c r="V7" s="95">
        <f t="shared" si="1"/>
        <v>2.9411764705882353E-2</v>
      </c>
      <c r="W7" s="95">
        <f t="shared" si="1"/>
        <v>0</v>
      </c>
      <c r="X7" s="95">
        <f t="shared" si="1"/>
        <v>0.14705882352941177</v>
      </c>
      <c r="Y7" s="95">
        <f t="shared" si="1"/>
        <v>1.4705882352941176E-2</v>
      </c>
      <c r="Z7" s="95">
        <f t="shared" si="1"/>
        <v>5.8823529411764705E-2</v>
      </c>
      <c r="AA7" s="95">
        <f t="shared" si="1"/>
        <v>0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</v>
      </c>
      <c r="AI7" s="95">
        <f t="shared" si="1"/>
        <v>0.17647058823529413</v>
      </c>
      <c r="AJ7" s="95">
        <f t="shared" si="1"/>
        <v>8.8235294117647065E-2</v>
      </c>
      <c r="AK7" s="95">
        <f t="shared" si="1"/>
        <v>0</v>
      </c>
      <c r="AL7" s="96">
        <f t="shared" si="1"/>
        <v>0</v>
      </c>
      <c r="AM7" s="96">
        <f t="shared" si="1"/>
        <v>0</v>
      </c>
      <c r="AN7" s="96">
        <f t="shared" si="1"/>
        <v>0</v>
      </c>
      <c r="AO7" s="95">
        <f t="shared" si="1"/>
        <v>0</v>
      </c>
      <c r="AP7" s="95">
        <f t="shared" si="1"/>
        <v>0.11764705882352941</v>
      </c>
      <c r="AQ7" s="88">
        <f t="shared" si="1"/>
        <v>0</v>
      </c>
      <c r="AR7" s="88">
        <f t="shared" si="1"/>
        <v>0</v>
      </c>
      <c r="AS7" s="88">
        <f t="shared" si="1"/>
        <v>0</v>
      </c>
      <c r="AT7" s="88">
        <f t="shared" si="1"/>
        <v>0</v>
      </c>
    </row>
    <row r="8" spans="1:46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136</v>
      </c>
      <c r="G8" s="72"/>
      <c r="H8" s="73">
        <v>12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>
        <v>40</v>
      </c>
      <c r="AL8" s="73">
        <v>40</v>
      </c>
      <c r="AM8" s="73">
        <v>40</v>
      </c>
      <c r="AN8" s="73">
        <v>4</v>
      </c>
      <c r="AO8" s="73"/>
      <c r="AP8" s="73"/>
      <c r="AQ8" s="73"/>
      <c r="AR8" s="73"/>
      <c r="AS8" s="73"/>
      <c r="AT8" s="73"/>
    </row>
    <row r="9" spans="1:46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T9" si="2">SUM(H8)/SUM($H$8:$AT$8)</f>
        <v>8.8235294117647065E-2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>
        <f t="shared" si="2"/>
        <v>0</v>
      </c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0.29411764705882354</v>
      </c>
      <c r="AL9" s="96">
        <f t="shared" si="2"/>
        <v>0.29411764705882354</v>
      </c>
      <c r="AM9" s="96">
        <f t="shared" si="2"/>
        <v>0.29411764705882354</v>
      </c>
      <c r="AN9" s="96">
        <f t="shared" si="2"/>
        <v>2.9411764705882353E-2</v>
      </c>
      <c r="AO9" s="95">
        <f t="shared" si="2"/>
        <v>0</v>
      </c>
      <c r="AP9" s="95">
        <f t="shared" si="2"/>
        <v>0</v>
      </c>
      <c r="AQ9" s="88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</row>
    <row r="10" spans="1:46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120</v>
      </c>
      <c r="G10" s="72"/>
      <c r="H10" s="73">
        <v>10</v>
      </c>
      <c r="I10" s="73">
        <v>12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>
        <v>0</v>
      </c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>
        <v>60</v>
      </c>
      <c r="AH10" s="73">
        <v>20</v>
      </c>
      <c r="AI10" s="73"/>
      <c r="AJ10" s="73">
        <v>10</v>
      </c>
      <c r="AK10" s="73"/>
      <c r="AL10" s="73"/>
      <c r="AM10" s="73"/>
      <c r="AN10" s="73"/>
      <c r="AO10" s="73"/>
      <c r="AP10" s="73"/>
      <c r="AQ10" s="73">
        <v>8</v>
      </c>
      <c r="AR10" s="73"/>
      <c r="AS10" s="73"/>
      <c r="AT10" s="73"/>
    </row>
    <row r="11" spans="1:46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T11" si="3">SUM(H10)/SUM($H$10:$AT$10)</f>
        <v>8.3333333333333329E-2</v>
      </c>
      <c r="I11" s="98">
        <f t="shared" si="3"/>
        <v>0.1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>
        <f t="shared" si="3"/>
        <v>0</v>
      </c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0.5</v>
      </c>
      <c r="AH11" s="98">
        <f t="shared" si="3"/>
        <v>0.16666666666666666</v>
      </c>
      <c r="AI11" s="98">
        <f t="shared" si="3"/>
        <v>0</v>
      </c>
      <c r="AJ11" s="98">
        <f t="shared" si="3"/>
        <v>8.3333333333333329E-2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6.6666666666666666E-2</v>
      </c>
      <c r="AR11" s="98">
        <f t="shared" si="3"/>
        <v>0</v>
      </c>
      <c r="AS11" s="98">
        <f t="shared" si="3"/>
        <v>0</v>
      </c>
      <c r="AT11" s="98">
        <f t="shared" si="3"/>
        <v>0</v>
      </c>
    </row>
  </sheetData>
  <autoFilter ref="A4:AQ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16">
    <mergeCell ref="Y4:Z4"/>
    <mergeCell ref="AA4:AF4"/>
    <mergeCell ref="AG4:AP4"/>
    <mergeCell ref="AR4:AT4"/>
    <mergeCell ref="F4:F5"/>
    <mergeCell ref="H4:K4"/>
    <mergeCell ref="L4:M4"/>
    <mergeCell ref="N4:O4"/>
    <mergeCell ref="P4:P5"/>
    <mergeCell ref="Q4:X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K21" sqref="AK2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114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06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167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19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5.9880239520958084E-2</v>
      </c>
      <c r="I7" s="88">
        <f t="shared" si="1"/>
        <v>0</v>
      </c>
      <c r="J7" s="88">
        <f t="shared" si="1"/>
        <v>5.9880239520958084E-2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5.9880239520958084E-2</v>
      </c>
      <c r="O7" s="88">
        <f t="shared" si="1"/>
        <v>0</v>
      </c>
      <c r="P7" s="89">
        <f t="shared" si="1"/>
        <v>0</v>
      </c>
      <c r="Q7" s="95">
        <f t="shared" si="1"/>
        <v>4.790419161676647E-2</v>
      </c>
      <c r="R7" s="95">
        <f t="shared" si="1"/>
        <v>1.1976047904191617E-2</v>
      </c>
      <c r="S7" s="95">
        <f t="shared" si="1"/>
        <v>1.1976047904191617E-2</v>
      </c>
      <c r="T7" s="95">
        <f t="shared" si="1"/>
        <v>1.1976047904191617E-2</v>
      </c>
      <c r="U7" s="95">
        <f t="shared" si="1"/>
        <v>1.1976047904191617E-2</v>
      </c>
      <c r="V7" s="95">
        <f t="shared" si="1"/>
        <v>4.790419161676647E-2</v>
      </c>
      <c r="W7" s="95">
        <f t="shared" si="1"/>
        <v>3.5928143712574849E-2</v>
      </c>
      <c r="X7" s="95">
        <f t="shared" si="1"/>
        <v>0</v>
      </c>
      <c r="Y7" s="95">
        <f t="shared" si="1"/>
        <v>0.11377245508982035</v>
      </c>
      <c r="Z7" s="95">
        <f t="shared" si="1"/>
        <v>1.1976047904191617E-2</v>
      </c>
      <c r="AA7" s="95">
        <f t="shared" si="1"/>
        <v>0.11976047904191617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5.9880239520958084E-2</v>
      </c>
      <c r="AI7" s="95">
        <f t="shared" si="1"/>
        <v>0</v>
      </c>
      <c r="AJ7" s="95">
        <f t="shared" si="1"/>
        <v>0.1437125748502994</v>
      </c>
      <c r="AK7" s="95">
        <f t="shared" si="1"/>
        <v>7.1856287425149698E-2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5.9880239520958084E-2</v>
      </c>
      <c r="AR7" s="88">
        <f t="shared" si="1"/>
        <v>5.9880239520958084E-2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23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52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0.1377245508982036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0.31137724550898205</v>
      </c>
      <c r="AM9" s="96">
        <f t="shared" si="2"/>
        <v>0.28742514970059879</v>
      </c>
      <c r="AN9" s="96">
        <f t="shared" si="2"/>
        <v>0.23952095808383234</v>
      </c>
      <c r="AO9" s="96">
        <f t="shared" si="2"/>
        <v>2.3952095808383235E-2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26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82</v>
      </c>
      <c r="AI10" s="73">
        <v>33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0.15568862275449102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0.49101796407185627</v>
      </c>
      <c r="AI11" s="98">
        <f t="shared" si="3"/>
        <v>0.19760479041916168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116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07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167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19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5.9880239520958084E-2</v>
      </c>
      <c r="I7" s="88">
        <f t="shared" si="1"/>
        <v>0</v>
      </c>
      <c r="J7" s="88">
        <f t="shared" si="1"/>
        <v>5.9880239520958084E-2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5.9880239520958084E-2</v>
      </c>
      <c r="O7" s="88">
        <f t="shared" si="1"/>
        <v>0</v>
      </c>
      <c r="P7" s="89">
        <f t="shared" si="1"/>
        <v>0</v>
      </c>
      <c r="Q7" s="95">
        <f t="shared" si="1"/>
        <v>4.790419161676647E-2</v>
      </c>
      <c r="R7" s="95">
        <f t="shared" si="1"/>
        <v>1.1976047904191617E-2</v>
      </c>
      <c r="S7" s="95">
        <f t="shared" si="1"/>
        <v>1.1976047904191617E-2</v>
      </c>
      <c r="T7" s="95">
        <f t="shared" si="1"/>
        <v>1.1976047904191617E-2</v>
      </c>
      <c r="U7" s="95">
        <f t="shared" si="1"/>
        <v>1.1976047904191617E-2</v>
      </c>
      <c r="V7" s="95">
        <f t="shared" si="1"/>
        <v>4.790419161676647E-2</v>
      </c>
      <c r="W7" s="95">
        <f t="shared" si="1"/>
        <v>3.5928143712574849E-2</v>
      </c>
      <c r="X7" s="95">
        <f t="shared" si="1"/>
        <v>0</v>
      </c>
      <c r="Y7" s="95">
        <f t="shared" si="1"/>
        <v>0.11377245508982035</v>
      </c>
      <c r="Z7" s="95">
        <f t="shared" si="1"/>
        <v>1.1976047904191617E-2</v>
      </c>
      <c r="AA7" s="95">
        <f t="shared" si="1"/>
        <v>0.11976047904191617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5.9880239520958084E-2</v>
      </c>
      <c r="AI7" s="95">
        <f t="shared" si="1"/>
        <v>0</v>
      </c>
      <c r="AJ7" s="95">
        <f t="shared" si="1"/>
        <v>0.1437125748502994</v>
      </c>
      <c r="AK7" s="95">
        <f t="shared" si="1"/>
        <v>7.1856287425149698E-2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5.9880239520958084E-2</v>
      </c>
      <c r="AR7" s="88">
        <f t="shared" si="1"/>
        <v>5.9880239520958084E-2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167</v>
      </c>
      <c r="G8" s="72"/>
      <c r="H8" s="73">
        <v>23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52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0.1377245508982036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0.31137724550898205</v>
      </c>
      <c r="AM9" s="96">
        <f t="shared" si="2"/>
        <v>0.28742514970059879</v>
      </c>
      <c r="AN9" s="96">
        <f t="shared" si="2"/>
        <v>0.23952095808383234</v>
      </c>
      <c r="AO9" s="96">
        <f t="shared" si="2"/>
        <v>2.3952095808383235E-2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167</v>
      </c>
      <c r="G10" s="72"/>
      <c r="H10" s="73">
        <v>26</v>
      </c>
      <c r="I10" s="73">
        <v>26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82</v>
      </c>
      <c r="AI10" s="73">
        <v>33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0.15568862275449102</v>
      </c>
      <c r="I11" s="98">
        <f t="shared" si="3"/>
        <v>0.15568862275449102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0.49101796407185627</v>
      </c>
      <c r="AI11" s="98">
        <f t="shared" si="3"/>
        <v>0.19760479041916168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1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19.710937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117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08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175</v>
      </c>
      <c r="G6" s="72"/>
      <c r="H6" s="73">
        <v>12</v>
      </c>
      <c r="I6" s="73"/>
      <c r="J6" s="73">
        <v>12</v>
      </c>
      <c r="K6" s="73"/>
      <c r="L6" s="73"/>
      <c r="M6" s="73"/>
      <c r="N6" s="73">
        <v>12</v>
      </c>
      <c r="O6" s="73"/>
      <c r="P6" s="81"/>
      <c r="Q6" s="73">
        <v>8</v>
      </c>
      <c r="R6" s="73">
        <v>3</v>
      </c>
      <c r="S6" s="73">
        <v>2</v>
      </c>
      <c r="T6" s="73">
        <v>2</v>
      </c>
      <c r="U6" s="73">
        <v>2</v>
      </c>
      <c r="V6" s="73">
        <v>8</v>
      </c>
      <c r="W6" s="73">
        <v>6</v>
      </c>
      <c r="X6" s="73"/>
      <c r="Y6" s="73">
        <v>20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24</v>
      </c>
      <c r="AK6" s="73">
        <v>12</v>
      </c>
      <c r="AL6" s="73"/>
      <c r="AM6" s="73"/>
      <c r="AN6" s="73"/>
      <c r="AO6" s="73"/>
      <c r="AP6" s="73"/>
      <c r="AQ6" s="73">
        <v>10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1.0000000000000002</v>
      </c>
      <c r="G7" s="72" t="s">
        <v>224</v>
      </c>
      <c r="H7" s="88">
        <f t="shared" ref="H7:AU7" si="1">SUM(H6)/SUM($H$6:$AU$6)</f>
        <v>6.8571428571428575E-2</v>
      </c>
      <c r="I7" s="88">
        <f t="shared" si="1"/>
        <v>0</v>
      </c>
      <c r="J7" s="88">
        <f t="shared" si="1"/>
        <v>6.8571428571428575E-2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6.8571428571428575E-2</v>
      </c>
      <c r="O7" s="88">
        <f t="shared" si="1"/>
        <v>0</v>
      </c>
      <c r="P7" s="89">
        <f t="shared" si="1"/>
        <v>0</v>
      </c>
      <c r="Q7" s="95">
        <f t="shared" si="1"/>
        <v>4.5714285714285714E-2</v>
      </c>
      <c r="R7" s="95">
        <f t="shared" si="1"/>
        <v>1.7142857142857144E-2</v>
      </c>
      <c r="S7" s="95">
        <f t="shared" si="1"/>
        <v>1.1428571428571429E-2</v>
      </c>
      <c r="T7" s="95">
        <f t="shared" si="1"/>
        <v>1.1428571428571429E-2</v>
      </c>
      <c r="U7" s="95">
        <f t="shared" si="1"/>
        <v>1.1428571428571429E-2</v>
      </c>
      <c r="V7" s="95">
        <f t="shared" si="1"/>
        <v>4.5714285714285714E-2</v>
      </c>
      <c r="W7" s="95">
        <f t="shared" si="1"/>
        <v>3.4285714285714287E-2</v>
      </c>
      <c r="X7" s="95">
        <f t="shared" si="1"/>
        <v>0</v>
      </c>
      <c r="Y7" s="95">
        <f t="shared" si="1"/>
        <v>0.11428571428571428</v>
      </c>
      <c r="Z7" s="95">
        <f t="shared" si="1"/>
        <v>1.1428571428571429E-2</v>
      </c>
      <c r="AA7" s="95">
        <f t="shared" si="1"/>
        <v>0.11428571428571428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5.7142857142857141E-2</v>
      </c>
      <c r="AI7" s="95">
        <f t="shared" si="1"/>
        <v>0</v>
      </c>
      <c r="AJ7" s="95">
        <f t="shared" si="1"/>
        <v>0.13714285714285715</v>
      </c>
      <c r="AK7" s="95">
        <f t="shared" si="1"/>
        <v>6.8571428571428575E-2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5.7142857142857141E-2</v>
      </c>
      <c r="AR7" s="88">
        <f t="shared" si="1"/>
        <v>5.7142857142857141E-2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tr">
        <f>IF(D8&lt;&gt;0,(VLOOKUP($B8,сотрудники!$B$4:$E$217,4,0)),0)</f>
        <v>ИТС / Отдел главного энергетика</v>
      </c>
      <c r="F8" s="72">
        <f t="shared" si="0"/>
        <v>175</v>
      </c>
      <c r="G8" s="72"/>
      <c r="H8" s="73">
        <v>25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54</v>
      </c>
      <c r="AM8" s="73">
        <v>52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0.14285714285714285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0.30857142857142855</v>
      </c>
      <c r="AM9" s="96">
        <f t="shared" si="2"/>
        <v>0.29714285714285715</v>
      </c>
      <c r="AN9" s="96">
        <f t="shared" si="2"/>
        <v>0.22857142857142856</v>
      </c>
      <c r="AO9" s="96">
        <f t="shared" si="2"/>
        <v>2.2857142857142857E-2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>
        <f>IF(D10&lt;&gt;0,(VLOOKUP($B10,сотрудники!$B$4:$E$217,4,0)),0)</f>
        <v>0</v>
      </c>
      <c r="F10" s="72">
        <f t="shared" si="0"/>
        <v>175</v>
      </c>
      <c r="G10" s="72"/>
      <c r="H10" s="73">
        <v>28</v>
      </c>
      <c r="I10" s="73">
        <v>28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85</v>
      </c>
      <c r="AI10" s="73">
        <v>34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0.16</v>
      </c>
      <c r="I11" s="98">
        <f t="shared" si="3"/>
        <v>0.16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0.48571428571428571</v>
      </c>
      <c r="AI11" s="98">
        <f t="shared" si="3"/>
        <v>0.19428571428571428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L17" sqref="AL17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117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09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151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3</v>
      </c>
      <c r="U6" s="73">
        <v>2</v>
      </c>
      <c r="V6" s="73">
        <v>6</v>
      </c>
      <c r="W6" s="73">
        <v>6</v>
      </c>
      <c r="X6" s="73"/>
      <c r="Y6" s="73">
        <v>12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8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6.6225165562913912E-2</v>
      </c>
      <c r="I7" s="88">
        <f t="shared" si="1"/>
        <v>0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6.6225165562913912E-2</v>
      </c>
      <c r="O7" s="88">
        <f t="shared" si="1"/>
        <v>0</v>
      </c>
      <c r="P7" s="89">
        <f t="shared" si="1"/>
        <v>0</v>
      </c>
      <c r="Q7" s="95">
        <f t="shared" si="1"/>
        <v>5.2980132450331126E-2</v>
      </c>
      <c r="R7" s="95">
        <f t="shared" si="1"/>
        <v>1.3245033112582781E-2</v>
      </c>
      <c r="S7" s="95">
        <f t="shared" si="1"/>
        <v>1.3245033112582781E-2</v>
      </c>
      <c r="T7" s="95">
        <f t="shared" si="1"/>
        <v>1.9867549668874173E-2</v>
      </c>
      <c r="U7" s="95">
        <f t="shared" si="1"/>
        <v>1.3245033112582781E-2</v>
      </c>
      <c r="V7" s="95">
        <f t="shared" si="1"/>
        <v>3.9735099337748346E-2</v>
      </c>
      <c r="W7" s="95">
        <f t="shared" si="1"/>
        <v>3.9735099337748346E-2</v>
      </c>
      <c r="X7" s="95">
        <f t="shared" si="1"/>
        <v>0</v>
      </c>
      <c r="Y7" s="95">
        <f t="shared" si="1"/>
        <v>7.9470198675496692E-2</v>
      </c>
      <c r="Z7" s="95">
        <f t="shared" si="1"/>
        <v>1.3245033112582781E-2</v>
      </c>
      <c r="AA7" s="95">
        <f t="shared" si="1"/>
        <v>0.13245033112582782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6.6225165562913912E-2</v>
      </c>
      <c r="AI7" s="95">
        <f t="shared" si="1"/>
        <v>0</v>
      </c>
      <c r="AJ7" s="95">
        <f t="shared" si="1"/>
        <v>0.13245033112582782</v>
      </c>
      <c r="AK7" s="95">
        <f t="shared" si="1"/>
        <v>7.9470198675496692E-2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5.2980132450331126E-2</v>
      </c>
      <c r="AR7" s="88">
        <f t="shared" si="1"/>
        <v>5.2980132450331126E-2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151</v>
      </c>
      <c r="G8" s="72"/>
      <c r="H8" s="73">
        <v>24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44</v>
      </c>
      <c r="AM8" s="73">
        <v>40</v>
      </c>
      <c r="AN8" s="73">
        <v>40</v>
      </c>
      <c r="AO8" s="73">
        <v>3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0.15894039735099338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0.29139072847682118</v>
      </c>
      <c r="AM9" s="96">
        <f t="shared" si="2"/>
        <v>0.26490066225165565</v>
      </c>
      <c r="AN9" s="96">
        <f t="shared" si="2"/>
        <v>0.26490066225165565</v>
      </c>
      <c r="AO9" s="96">
        <f t="shared" si="2"/>
        <v>1.9867549668874173E-2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71</v>
      </c>
      <c r="G10" s="72"/>
      <c r="H10" s="73">
        <v>8</v>
      </c>
      <c r="I10" s="73">
        <v>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47</v>
      </c>
      <c r="AI10" s="73">
        <v>8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0.11267605633802817</v>
      </c>
      <c r="I11" s="98">
        <f t="shared" si="3"/>
        <v>0.11267605633802817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0.6619718309859155</v>
      </c>
      <c r="AI11" s="98">
        <f t="shared" si="3"/>
        <v>0.11267605633802817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118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10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151</v>
      </c>
      <c r="G6" s="72"/>
      <c r="H6" s="73">
        <v>10</v>
      </c>
      <c r="I6" s="73"/>
      <c r="J6" s="73">
        <v>10</v>
      </c>
      <c r="K6" s="73"/>
      <c r="L6" s="73"/>
      <c r="M6" s="73"/>
      <c r="N6" s="73">
        <v>10</v>
      </c>
      <c r="O6" s="73"/>
      <c r="P6" s="81"/>
      <c r="Q6" s="73">
        <v>8</v>
      </c>
      <c r="R6" s="73">
        <v>2</v>
      </c>
      <c r="S6" s="73">
        <v>2</v>
      </c>
      <c r="T6" s="73">
        <v>3</v>
      </c>
      <c r="U6" s="73">
        <v>2</v>
      </c>
      <c r="V6" s="73">
        <v>6</v>
      </c>
      <c r="W6" s="73">
        <v>6</v>
      </c>
      <c r="X6" s="73"/>
      <c r="Y6" s="73">
        <v>12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10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8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6.6225165562913912E-2</v>
      </c>
      <c r="I7" s="88">
        <f t="shared" si="1"/>
        <v>0</v>
      </c>
      <c r="J7" s="88">
        <f t="shared" si="1"/>
        <v>6.6225165562913912E-2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6.6225165562913912E-2</v>
      </c>
      <c r="O7" s="88">
        <f t="shared" si="1"/>
        <v>0</v>
      </c>
      <c r="P7" s="89">
        <f t="shared" si="1"/>
        <v>0</v>
      </c>
      <c r="Q7" s="95">
        <f t="shared" si="1"/>
        <v>5.2980132450331126E-2</v>
      </c>
      <c r="R7" s="95">
        <f t="shared" si="1"/>
        <v>1.3245033112582781E-2</v>
      </c>
      <c r="S7" s="95">
        <f t="shared" si="1"/>
        <v>1.3245033112582781E-2</v>
      </c>
      <c r="T7" s="95">
        <f t="shared" si="1"/>
        <v>1.9867549668874173E-2</v>
      </c>
      <c r="U7" s="95">
        <f t="shared" si="1"/>
        <v>1.3245033112582781E-2</v>
      </c>
      <c r="V7" s="95">
        <f t="shared" si="1"/>
        <v>3.9735099337748346E-2</v>
      </c>
      <c r="W7" s="95">
        <f t="shared" si="1"/>
        <v>3.9735099337748346E-2</v>
      </c>
      <c r="X7" s="95">
        <f t="shared" si="1"/>
        <v>0</v>
      </c>
      <c r="Y7" s="95">
        <f t="shared" si="1"/>
        <v>7.9470198675496692E-2</v>
      </c>
      <c r="Z7" s="95">
        <f t="shared" si="1"/>
        <v>1.3245033112582781E-2</v>
      </c>
      <c r="AA7" s="95">
        <f t="shared" si="1"/>
        <v>0.13245033112582782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6.6225165562913912E-2</v>
      </c>
      <c r="AI7" s="95">
        <f t="shared" si="1"/>
        <v>0</v>
      </c>
      <c r="AJ7" s="95">
        <f t="shared" si="1"/>
        <v>0.13245033112582782</v>
      </c>
      <c r="AK7" s="95">
        <f t="shared" si="1"/>
        <v>7.9470198675496692E-2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5.2980132450331126E-2</v>
      </c>
      <c r="AR7" s="88">
        <f t="shared" si="1"/>
        <v>5.2980132450331126E-2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151</v>
      </c>
      <c r="G8" s="72"/>
      <c r="H8" s="73">
        <v>24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44</v>
      </c>
      <c r="AM8" s="73">
        <v>40</v>
      </c>
      <c r="AN8" s="73">
        <v>40</v>
      </c>
      <c r="AO8" s="73">
        <v>3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0.15894039735099338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0.29139072847682118</v>
      </c>
      <c r="AM9" s="96">
        <f t="shared" si="2"/>
        <v>0.26490066225165565</v>
      </c>
      <c r="AN9" s="96">
        <f t="shared" si="2"/>
        <v>0.26490066225165565</v>
      </c>
      <c r="AO9" s="96">
        <f t="shared" si="2"/>
        <v>1.9867549668874173E-2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71</v>
      </c>
      <c r="G10" s="72"/>
      <c r="H10" s="73">
        <v>8</v>
      </c>
      <c r="I10" s="73">
        <v>8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47</v>
      </c>
      <c r="AI10" s="73">
        <v>8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0.11267605633802817</v>
      </c>
      <c r="I11" s="98">
        <f t="shared" si="3"/>
        <v>0.11267605633802817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0.6619718309859155</v>
      </c>
      <c r="AI11" s="98">
        <f t="shared" si="3"/>
        <v>0.11267605633802817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119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11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184</v>
      </c>
      <c r="G6" s="72"/>
      <c r="H6" s="73">
        <v>14</v>
      </c>
      <c r="I6" s="73"/>
      <c r="J6" s="73">
        <v>14</v>
      </c>
      <c r="K6" s="73"/>
      <c r="L6" s="73"/>
      <c r="M6" s="73"/>
      <c r="N6" s="73">
        <v>14</v>
      </c>
      <c r="O6" s="73"/>
      <c r="P6" s="81"/>
      <c r="Q6" s="73">
        <v>12</v>
      </c>
      <c r="R6" s="73">
        <v>4</v>
      </c>
      <c r="S6" s="73">
        <v>4</v>
      </c>
      <c r="T6" s="73">
        <v>4</v>
      </c>
      <c r="U6" s="73">
        <v>4</v>
      </c>
      <c r="V6" s="73">
        <v>8</v>
      </c>
      <c r="W6" s="73">
        <v>8</v>
      </c>
      <c r="X6" s="73"/>
      <c r="Y6" s="73">
        <v>14</v>
      </c>
      <c r="Z6" s="73">
        <v>2</v>
      </c>
      <c r="AA6" s="73">
        <v>20</v>
      </c>
      <c r="AB6" s="73"/>
      <c r="AC6" s="73"/>
      <c r="AD6" s="73"/>
      <c r="AE6" s="73"/>
      <c r="AF6" s="73"/>
      <c r="AG6" s="73"/>
      <c r="AH6" s="73">
        <v>12</v>
      </c>
      <c r="AI6" s="73"/>
      <c r="AJ6" s="73">
        <v>20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7.6086956521739135E-2</v>
      </c>
      <c r="I7" s="88">
        <f t="shared" si="1"/>
        <v>0</v>
      </c>
      <c r="J7" s="88">
        <f t="shared" si="1"/>
        <v>7.6086956521739135E-2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7.6086956521739135E-2</v>
      </c>
      <c r="O7" s="88">
        <f t="shared" si="1"/>
        <v>0</v>
      </c>
      <c r="P7" s="89">
        <f t="shared" si="1"/>
        <v>0</v>
      </c>
      <c r="Q7" s="95">
        <f t="shared" si="1"/>
        <v>6.5217391304347824E-2</v>
      </c>
      <c r="R7" s="95">
        <f t="shared" si="1"/>
        <v>2.1739130434782608E-2</v>
      </c>
      <c r="S7" s="95">
        <f t="shared" si="1"/>
        <v>2.1739130434782608E-2</v>
      </c>
      <c r="T7" s="95">
        <f t="shared" si="1"/>
        <v>2.1739130434782608E-2</v>
      </c>
      <c r="U7" s="95">
        <f t="shared" si="1"/>
        <v>2.1739130434782608E-2</v>
      </c>
      <c r="V7" s="95">
        <f t="shared" si="1"/>
        <v>4.3478260869565216E-2</v>
      </c>
      <c r="W7" s="95">
        <f t="shared" si="1"/>
        <v>4.3478260869565216E-2</v>
      </c>
      <c r="X7" s="95">
        <f t="shared" si="1"/>
        <v>0</v>
      </c>
      <c r="Y7" s="95">
        <f t="shared" si="1"/>
        <v>7.6086956521739135E-2</v>
      </c>
      <c r="Z7" s="95">
        <f t="shared" si="1"/>
        <v>1.0869565217391304E-2</v>
      </c>
      <c r="AA7" s="95">
        <f t="shared" si="1"/>
        <v>0.10869565217391304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6.5217391304347824E-2</v>
      </c>
      <c r="AI7" s="95">
        <f t="shared" si="1"/>
        <v>0</v>
      </c>
      <c r="AJ7" s="95">
        <f t="shared" si="1"/>
        <v>0.10869565217391304</v>
      </c>
      <c r="AK7" s="95">
        <f t="shared" si="1"/>
        <v>6.5217391304347824E-2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4.3478260869565216E-2</v>
      </c>
      <c r="AR7" s="88">
        <f t="shared" si="1"/>
        <v>5.434782608695652E-2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184</v>
      </c>
      <c r="G8" s="72"/>
      <c r="H8" s="73">
        <v>40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50</v>
      </c>
      <c r="AM8" s="73">
        <v>50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0.99999999999999989</v>
      </c>
      <c r="G9" s="72" t="s">
        <v>224</v>
      </c>
      <c r="H9" s="95">
        <f t="shared" ref="H9:AU9" si="2">SUM(H8)/SUM($H$8:$AU$8)</f>
        <v>0.21739130434782608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0.27173913043478259</v>
      </c>
      <c r="AM9" s="96">
        <f t="shared" si="2"/>
        <v>0.27173913043478259</v>
      </c>
      <c r="AN9" s="96">
        <f t="shared" si="2"/>
        <v>0.21739130434782608</v>
      </c>
      <c r="AO9" s="96">
        <f t="shared" si="2"/>
        <v>2.1739130434782608E-2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184</v>
      </c>
      <c r="G10" s="72"/>
      <c r="H10" s="73">
        <v>58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0.31521739130434784</v>
      </c>
      <c r="I11" s="98">
        <f t="shared" si="3"/>
        <v>0.16304347826086957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0.43478260869565216</v>
      </c>
      <c r="AI11" s="98">
        <f t="shared" si="3"/>
        <v>8.6956521739130432E-2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165</v>
      </c>
      <c r="G12" s="72"/>
      <c r="H12" s="73">
        <v>24</v>
      </c>
      <c r="I12" s="73"/>
      <c r="J12" s="73">
        <v>24</v>
      </c>
      <c r="K12" s="73"/>
      <c r="L12" s="73"/>
      <c r="M12" s="73"/>
      <c r="N12" s="73">
        <v>0</v>
      </c>
      <c r="O12" s="73"/>
      <c r="P12" s="81"/>
      <c r="Q12" s="73">
        <v>24</v>
      </c>
      <c r="R12" s="73">
        <v>0</v>
      </c>
      <c r="S12" s="73">
        <v>0</v>
      </c>
      <c r="T12" s="73">
        <v>12</v>
      </c>
      <c r="U12" s="73">
        <v>0</v>
      </c>
      <c r="V12" s="73">
        <v>0</v>
      </c>
      <c r="W12" s="73">
        <v>0</v>
      </c>
      <c r="X12" s="73"/>
      <c r="Y12" s="73">
        <v>24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16</v>
      </c>
      <c r="AK12" s="73">
        <v>9</v>
      </c>
      <c r="AL12" s="73"/>
      <c r="AM12" s="73"/>
      <c r="AN12" s="73"/>
      <c r="AO12" s="73"/>
      <c r="AP12" s="73"/>
      <c r="AQ12" s="73">
        <v>16</v>
      </c>
      <c r="AR12" s="73">
        <v>16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>
        <f t="shared" ref="F13" si="4">SUM(H13:AU13)</f>
        <v>0.99999999999999989</v>
      </c>
      <c r="G13" s="72" t="s">
        <v>224</v>
      </c>
      <c r="H13" s="88">
        <f>SUM(H12)/SUM($H$12:$AU$12)</f>
        <v>0.14545454545454545</v>
      </c>
      <c r="I13" s="88">
        <f>SUM(I12)/SUM($H$12:$AU$12)</f>
        <v>0</v>
      </c>
      <c r="J13" s="88">
        <f>SUM(J12)/SUM($H$12:$AU$12)</f>
        <v>0.14545454545454545</v>
      </c>
      <c r="K13" s="88">
        <f t="shared" ref="K13:AU13" si="5">SUM(K12)/SUM($H$12:$AU$12)</f>
        <v>0</v>
      </c>
      <c r="L13" s="88">
        <f t="shared" si="5"/>
        <v>0</v>
      </c>
      <c r="M13" s="88">
        <f t="shared" si="5"/>
        <v>0</v>
      </c>
      <c r="N13" s="88">
        <f t="shared" si="5"/>
        <v>0</v>
      </c>
      <c r="O13" s="88">
        <f t="shared" si="5"/>
        <v>0</v>
      </c>
      <c r="P13" s="88">
        <f t="shared" si="5"/>
        <v>0</v>
      </c>
      <c r="Q13" s="88">
        <f t="shared" si="5"/>
        <v>0.14545454545454545</v>
      </c>
      <c r="R13" s="88">
        <f t="shared" si="5"/>
        <v>0</v>
      </c>
      <c r="S13" s="88">
        <f t="shared" si="5"/>
        <v>0</v>
      </c>
      <c r="T13" s="88">
        <f t="shared" si="5"/>
        <v>7.2727272727272724E-2</v>
      </c>
      <c r="U13" s="88">
        <f t="shared" si="5"/>
        <v>0</v>
      </c>
      <c r="V13" s="88">
        <f t="shared" si="5"/>
        <v>0</v>
      </c>
      <c r="W13" s="88">
        <f t="shared" si="5"/>
        <v>0</v>
      </c>
      <c r="X13" s="88">
        <f t="shared" si="5"/>
        <v>0</v>
      </c>
      <c r="Y13" s="88">
        <f t="shared" si="5"/>
        <v>0.14545454545454545</v>
      </c>
      <c r="Z13" s="88">
        <f t="shared" si="5"/>
        <v>0</v>
      </c>
      <c r="AA13" s="88">
        <f t="shared" si="5"/>
        <v>0</v>
      </c>
      <c r="AB13" s="88">
        <f t="shared" si="5"/>
        <v>0</v>
      </c>
      <c r="AC13" s="88">
        <f t="shared" si="5"/>
        <v>0</v>
      </c>
      <c r="AD13" s="88">
        <f t="shared" si="5"/>
        <v>0</v>
      </c>
      <c r="AE13" s="88">
        <f t="shared" si="5"/>
        <v>0</v>
      </c>
      <c r="AF13" s="88">
        <f t="shared" si="5"/>
        <v>0</v>
      </c>
      <c r="AG13" s="88">
        <f t="shared" si="5"/>
        <v>0</v>
      </c>
      <c r="AH13" s="88">
        <f t="shared" si="5"/>
        <v>0</v>
      </c>
      <c r="AI13" s="88">
        <f t="shared" si="5"/>
        <v>0</v>
      </c>
      <c r="AJ13" s="88">
        <f t="shared" si="5"/>
        <v>9.696969696969697E-2</v>
      </c>
      <c r="AK13" s="88">
        <f t="shared" si="5"/>
        <v>5.4545454545454543E-2</v>
      </c>
      <c r="AL13" s="88">
        <f t="shared" si="5"/>
        <v>0</v>
      </c>
      <c r="AM13" s="88">
        <f t="shared" si="5"/>
        <v>0</v>
      </c>
      <c r="AN13" s="88">
        <f t="shared" si="5"/>
        <v>0</v>
      </c>
      <c r="AO13" s="88">
        <f t="shared" si="5"/>
        <v>0</v>
      </c>
      <c r="AP13" s="88">
        <f t="shared" si="5"/>
        <v>0</v>
      </c>
      <c r="AQ13" s="88">
        <f t="shared" si="5"/>
        <v>9.696969696969697E-2</v>
      </c>
      <c r="AR13" s="88">
        <f t="shared" si="5"/>
        <v>9.696969696969697E-2</v>
      </c>
      <c r="AS13" s="88">
        <f t="shared" si="5"/>
        <v>0</v>
      </c>
      <c r="AT13" s="88">
        <f t="shared" si="5"/>
        <v>0</v>
      </c>
      <c r="AU13" s="88">
        <f t="shared" si="5"/>
        <v>0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1" sqref="H2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121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12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96</v>
      </c>
      <c r="G6" s="72"/>
      <c r="H6" s="73">
        <v>7</v>
      </c>
      <c r="I6" s="73"/>
      <c r="J6" s="73">
        <v>7</v>
      </c>
      <c r="K6" s="73"/>
      <c r="L6" s="73"/>
      <c r="M6" s="73"/>
      <c r="N6" s="73">
        <v>7</v>
      </c>
      <c r="O6" s="73"/>
      <c r="P6" s="81"/>
      <c r="Q6" s="73">
        <v>7</v>
      </c>
      <c r="R6" s="73">
        <v>2</v>
      </c>
      <c r="S6" s="73">
        <v>2</v>
      </c>
      <c r="T6" s="73">
        <v>2</v>
      </c>
      <c r="U6" s="73">
        <v>2</v>
      </c>
      <c r="V6" s="73">
        <v>2</v>
      </c>
      <c r="W6" s="73">
        <v>2</v>
      </c>
      <c r="X6" s="73"/>
      <c r="Y6" s="73">
        <v>7</v>
      </c>
      <c r="Z6" s="73">
        <v>1</v>
      </c>
      <c r="AA6" s="73">
        <v>10</v>
      </c>
      <c r="AB6" s="73"/>
      <c r="AC6" s="73"/>
      <c r="AD6" s="73"/>
      <c r="AE6" s="73"/>
      <c r="AF6" s="73"/>
      <c r="AG6" s="73"/>
      <c r="AH6" s="73">
        <v>4</v>
      </c>
      <c r="AI6" s="73"/>
      <c r="AJ6" s="73">
        <v>4</v>
      </c>
      <c r="AK6" s="73">
        <v>12</v>
      </c>
      <c r="AL6" s="73"/>
      <c r="AM6" s="73"/>
      <c r="AN6" s="73"/>
      <c r="AO6" s="73"/>
      <c r="AP6" s="73"/>
      <c r="AQ6" s="73">
        <v>8</v>
      </c>
      <c r="AR6" s="73">
        <v>10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0.99999999999999989</v>
      </c>
      <c r="G7" s="72" t="s">
        <v>224</v>
      </c>
      <c r="H7" s="88">
        <f t="shared" ref="H7:AU7" si="1">SUM(H6)/SUM($H$6:$AU$6)</f>
        <v>7.2916666666666671E-2</v>
      </c>
      <c r="I7" s="88">
        <f t="shared" si="1"/>
        <v>0</v>
      </c>
      <c r="J7" s="88">
        <f t="shared" si="1"/>
        <v>7.2916666666666671E-2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7.2916666666666671E-2</v>
      </c>
      <c r="O7" s="88">
        <f t="shared" si="1"/>
        <v>0</v>
      </c>
      <c r="P7" s="89">
        <f t="shared" si="1"/>
        <v>0</v>
      </c>
      <c r="Q7" s="95">
        <f t="shared" si="1"/>
        <v>7.2916666666666671E-2</v>
      </c>
      <c r="R7" s="95">
        <f t="shared" si="1"/>
        <v>2.0833333333333332E-2</v>
      </c>
      <c r="S7" s="95">
        <f t="shared" si="1"/>
        <v>2.0833333333333332E-2</v>
      </c>
      <c r="T7" s="95">
        <f t="shared" si="1"/>
        <v>2.0833333333333332E-2</v>
      </c>
      <c r="U7" s="95">
        <f t="shared" si="1"/>
        <v>2.0833333333333332E-2</v>
      </c>
      <c r="V7" s="95">
        <f t="shared" si="1"/>
        <v>2.0833333333333332E-2</v>
      </c>
      <c r="W7" s="95">
        <f t="shared" si="1"/>
        <v>2.0833333333333332E-2</v>
      </c>
      <c r="X7" s="95">
        <f t="shared" si="1"/>
        <v>0</v>
      </c>
      <c r="Y7" s="95">
        <f t="shared" si="1"/>
        <v>7.2916666666666671E-2</v>
      </c>
      <c r="Z7" s="95">
        <f t="shared" si="1"/>
        <v>1.0416666666666666E-2</v>
      </c>
      <c r="AA7" s="95">
        <f t="shared" si="1"/>
        <v>0.10416666666666667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4.1666666666666664E-2</v>
      </c>
      <c r="AI7" s="95">
        <f t="shared" si="1"/>
        <v>0</v>
      </c>
      <c r="AJ7" s="95">
        <f t="shared" si="1"/>
        <v>4.1666666666666664E-2</v>
      </c>
      <c r="AK7" s="95">
        <f t="shared" si="1"/>
        <v>0.125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8.3333333333333329E-2</v>
      </c>
      <c r="AR7" s="88">
        <f t="shared" si="1"/>
        <v>0.10416666666666667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176</v>
      </c>
      <c r="G8" s="72"/>
      <c r="H8" s="73">
        <v>36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48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0.20454545454545456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0.27272727272727271</v>
      </c>
      <c r="AM9" s="96">
        <f t="shared" si="2"/>
        <v>0.27272727272727271</v>
      </c>
      <c r="AN9" s="96">
        <f t="shared" si="2"/>
        <v>0.22727272727272727</v>
      </c>
      <c r="AO9" s="96">
        <f t="shared" si="2"/>
        <v>2.2727272727272728E-2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176</v>
      </c>
      <c r="G10" s="72"/>
      <c r="H10" s="73">
        <v>50</v>
      </c>
      <c r="I10" s="73">
        <v>30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0.28409090909090912</v>
      </c>
      <c r="I11" s="98">
        <f t="shared" si="3"/>
        <v>0.17045454545454544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0.45454545454545453</v>
      </c>
      <c r="AI11" s="98">
        <f t="shared" si="3"/>
        <v>9.0909090909090912E-2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0</v>
      </c>
      <c r="G12" s="72"/>
      <c r="H12" s="73">
        <v>0</v>
      </c>
      <c r="I12" s="73"/>
      <c r="J12" s="73">
        <v>0</v>
      </c>
      <c r="K12" s="73"/>
      <c r="L12" s="73"/>
      <c r="M12" s="73"/>
      <c r="N12" s="73">
        <v>0</v>
      </c>
      <c r="O12" s="73"/>
      <c r="P12" s="81"/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>
        <v>0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0</v>
      </c>
      <c r="AK12" s="73">
        <v>0</v>
      </c>
      <c r="AL12" s="73"/>
      <c r="AM12" s="73"/>
      <c r="AN12" s="73"/>
      <c r="AO12" s="73"/>
      <c r="AP12" s="73"/>
      <c r="AQ12" s="73">
        <v>0</v>
      </c>
      <c r="AR12" s="73">
        <v>0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 t="e">
        <f t="shared" ref="F13" si="4">SUM(H13:AU13)</f>
        <v>#DIV/0!</v>
      </c>
      <c r="G13" s="72" t="s">
        <v>224</v>
      </c>
      <c r="H13" s="88" t="e">
        <f>SUM(H12)/SUM($H$12:$AU$12)</f>
        <v>#DIV/0!</v>
      </c>
      <c r="I13" s="88" t="e">
        <f>SUM(I12)/SUM($H$12:$AU$12)</f>
        <v>#DIV/0!</v>
      </c>
      <c r="J13" s="88" t="e">
        <f>SUM(J12)/SUM($H$12:$AU$12)</f>
        <v>#DIV/0!</v>
      </c>
      <c r="K13" s="88" t="e">
        <f t="shared" ref="K13:AU13" si="5">SUM(K12)/SUM($H$12:$AU$12)</f>
        <v>#DIV/0!</v>
      </c>
      <c r="L13" s="88" t="e">
        <f t="shared" si="5"/>
        <v>#DIV/0!</v>
      </c>
      <c r="M13" s="88" t="e">
        <f t="shared" si="5"/>
        <v>#DIV/0!</v>
      </c>
      <c r="N13" s="88" t="e">
        <f t="shared" si="5"/>
        <v>#DIV/0!</v>
      </c>
      <c r="O13" s="88" t="e">
        <f t="shared" si="5"/>
        <v>#DIV/0!</v>
      </c>
      <c r="P13" s="88" t="e">
        <f t="shared" si="5"/>
        <v>#DIV/0!</v>
      </c>
      <c r="Q13" s="88" t="e">
        <f t="shared" si="5"/>
        <v>#DIV/0!</v>
      </c>
      <c r="R13" s="88" t="e">
        <f t="shared" si="5"/>
        <v>#DIV/0!</v>
      </c>
      <c r="S13" s="88" t="e">
        <f t="shared" si="5"/>
        <v>#DIV/0!</v>
      </c>
      <c r="T13" s="88" t="e">
        <f t="shared" si="5"/>
        <v>#DIV/0!</v>
      </c>
      <c r="U13" s="88" t="e">
        <f t="shared" si="5"/>
        <v>#DIV/0!</v>
      </c>
      <c r="V13" s="88" t="e">
        <f t="shared" si="5"/>
        <v>#DIV/0!</v>
      </c>
      <c r="W13" s="88" t="e">
        <f t="shared" si="5"/>
        <v>#DIV/0!</v>
      </c>
      <c r="X13" s="88" t="e">
        <f t="shared" si="5"/>
        <v>#DIV/0!</v>
      </c>
      <c r="Y13" s="88" t="e">
        <f t="shared" si="5"/>
        <v>#DIV/0!</v>
      </c>
      <c r="Z13" s="88" t="e">
        <f t="shared" si="5"/>
        <v>#DIV/0!</v>
      </c>
      <c r="AA13" s="88" t="e">
        <f t="shared" si="5"/>
        <v>#DIV/0!</v>
      </c>
      <c r="AB13" s="88" t="e">
        <f t="shared" si="5"/>
        <v>#DIV/0!</v>
      </c>
      <c r="AC13" s="88" t="e">
        <f t="shared" si="5"/>
        <v>#DIV/0!</v>
      </c>
      <c r="AD13" s="88" t="e">
        <f t="shared" si="5"/>
        <v>#DIV/0!</v>
      </c>
      <c r="AE13" s="88" t="e">
        <f t="shared" si="5"/>
        <v>#DIV/0!</v>
      </c>
      <c r="AF13" s="88" t="e">
        <f t="shared" si="5"/>
        <v>#DIV/0!</v>
      </c>
      <c r="AG13" s="88" t="e">
        <f t="shared" si="5"/>
        <v>#DIV/0!</v>
      </c>
      <c r="AH13" s="88" t="e">
        <f t="shared" si="5"/>
        <v>#DIV/0!</v>
      </c>
      <c r="AI13" s="88" t="e">
        <f t="shared" si="5"/>
        <v>#DIV/0!</v>
      </c>
      <c r="AJ13" s="88" t="e">
        <f t="shared" si="5"/>
        <v>#DIV/0!</v>
      </c>
      <c r="AK13" s="88" t="e">
        <f t="shared" si="5"/>
        <v>#DIV/0!</v>
      </c>
      <c r="AL13" s="88" t="e">
        <f t="shared" si="5"/>
        <v>#DIV/0!</v>
      </c>
      <c r="AM13" s="88" t="e">
        <f t="shared" si="5"/>
        <v>#DIV/0!</v>
      </c>
      <c r="AN13" s="88" t="e">
        <f t="shared" si="5"/>
        <v>#DIV/0!</v>
      </c>
      <c r="AO13" s="88" t="e">
        <f t="shared" si="5"/>
        <v>#DIV/0!</v>
      </c>
      <c r="AP13" s="88" t="e">
        <f t="shared" si="5"/>
        <v>#DIV/0!</v>
      </c>
      <c r="AQ13" s="88" t="e">
        <f t="shared" si="5"/>
        <v>#DIV/0!</v>
      </c>
      <c r="AR13" s="88" t="e">
        <f t="shared" si="5"/>
        <v>#DIV/0!</v>
      </c>
      <c r="AS13" s="88" t="e">
        <f t="shared" si="5"/>
        <v>#DIV/0!</v>
      </c>
      <c r="AT13" s="88" t="e">
        <f t="shared" si="5"/>
        <v>#DIV/0!</v>
      </c>
      <c r="AU13" s="88" t="e">
        <f t="shared" si="5"/>
        <v>#DIV/0!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E4:E5"/>
    <mergeCell ref="A1:D1"/>
    <mergeCell ref="A4:A5"/>
    <mergeCell ref="B4:B5"/>
    <mergeCell ref="C4:C5"/>
    <mergeCell ref="D4:D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122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13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176</v>
      </c>
      <c r="G6" s="72"/>
      <c r="H6" s="73">
        <v>20</v>
      </c>
      <c r="I6" s="73"/>
      <c r="J6" s="73">
        <v>20</v>
      </c>
      <c r="K6" s="73"/>
      <c r="L6" s="73"/>
      <c r="M6" s="73"/>
      <c r="N6" s="73">
        <v>8</v>
      </c>
      <c r="O6" s="73"/>
      <c r="P6" s="81"/>
      <c r="Q6" s="73">
        <v>20</v>
      </c>
      <c r="R6" s="73">
        <v>2</v>
      </c>
      <c r="S6" s="73">
        <v>2</v>
      </c>
      <c r="T6" s="73">
        <v>2</v>
      </c>
      <c r="U6" s="73">
        <v>2</v>
      </c>
      <c r="V6" s="73">
        <v>2</v>
      </c>
      <c r="W6" s="73">
        <v>2</v>
      </c>
      <c r="X6" s="73"/>
      <c r="Y6" s="73">
        <v>20</v>
      </c>
      <c r="Z6" s="73">
        <v>1</v>
      </c>
      <c r="AA6" s="73">
        <v>10</v>
      </c>
      <c r="AB6" s="73"/>
      <c r="AC6" s="73"/>
      <c r="AD6" s="73"/>
      <c r="AE6" s="73"/>
      <c r="AF6" s="73"/>
      <c r="AG6" s="73"/>
      <c r="AH6" s="73">
        <v>21</v>
      </c>
      <c r="AI6" s="73"/>
      <c r="AJ6" s="73">
        <v>8</v>
      </c>
      <c r="AK6" s="73">
        <v>8</v>
      </c>
      <c r="AL6" s="73"/>
      <c r="AM6" s="73"/>
      <c r="AN6" s="73"/>
      <c r="AO6" s="73"/>
      <c r="AP6" s="73"/>
      <c r="AQ6" s="73">
        <v>8</v>
      </c>
      <c r="AR6" s="73">
        <v>20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0.99999999999999989</v>
      </c>
      <c r="G7" s="72" t="s">
        <v>224</v>
      </c>
      <c r="H7" s="88">
        <f t="shared" ref="H7:AU7" si="1">SUM(H6)/SUM($H$6:$AU$6)</f>
        <v>0.11363636363636363</v>
      </c>
      <c r="I7" s="88">
        <f t="shared" si="1"/>
        <v>0</v>
      </c>
      <c r="J7" s="88">
        <f t="shared" si="1"/>
        <v>0.11363636363636363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4.5454545454545456E-2</v>
      </c>
      <c r="O7" s="88">
        <f t="shared" si="1"/>
        <v>0</v>
      </c>
      <c r="P7" s="89">
        <f t="shared" si="1"/>
        <v>0</v>
      </c>
      <c r="Q7" s="95">
        <f t="shared" si="1"/>
        <v>0.11363636363636363</v>
      </c>
      <c r="R7" s="95">
        <f t="shared" si="1"/>
        <v>1.1363636363636364E-2</v>
      </c>
      <c r="S7" s="95">
        <f t="shared" si="1"/>
        <v>1.1363636363636364E-2</v>
      </c>
      <c r="T7" s="95">
        <f t="shared" si="1"/>
        <v>1.1363636363636364E-2</v>
      </c>
      <c r="U7" s="95">
        <f t="shared" si="1"/>
        <v>1.1363636363636364E-2</v>
      </c>
      <c r="V7" s="95">
        <f t="shared" si="1"/>
        <v>1.1363636363636364E-2</v>
      </c>
      <c r="W7" s="95">
        <f t="shared" si="1"/>
        <v>1.1363636363636364E-2</v>
      </c>
      <c r="X7" s="95">
        <f t="shared" si="1"/>
        <v>0</v>
      </c>
      <c r="Y7" s="95">
        <f t="shared" si="1"/>
        <v>0.11363636363636363</v>
      </c>
      <c r="Z7" s="95">
        <f t="shared" si="1"/>
        <v>5.681818181818182E-3</v>
      </c>
      <c r="AA7" s="95">
        <f t="shared" si="1"/>
        <v>5.6818181818181816E-2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0.11931818181818182</v>
      </c>
      <c r="AI7" s="95">
        <f t="shared" si="1"/>
        <v>0</v>
      </c>
      <c r="AJ7" s="95">
        <f t="shared" si="1"/>
        <v>4.5454545454545456E-2</v>
      </c>
      <c r="AK7" s="95">
        <f t="shared" si="1"/>
        <v>4.5454545454545456E-2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4.5454545454545456E-2</v>
      </c>
      <c r="AR7" s="88">
        <f t="shared" si="1"/>
        <v>0.11363636363636363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186</v>
      </c>
      <c r="G8" s="72"/>
      <c r="H8" s="73">
        <v>46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48</v>
      </c>
      <c r="AM8" s="73">
        <v>48</v>
      </c>
      <c r="AN8" s="73">
        <v>40</v>
      </c>
      <c r="AO8" s="73">
        <v>4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0.24731182795698925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0.25806451612903225</v>
      </c>
      <c r="AM9" s="96">
        <f t="shared" si="2"/>
        <v>0.25806451612903225</v>
      </c>
      <c r="AN9" s="96">
        <f t="shared" si="2"/>
        <v>0.21505376344086022</v>
      </c>
      <c r="AO9" s="96">
        <f t="shared" si="2"/>
        <v>2.1505376344086023E-2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186</v>
      </c>
      <c r="G10" s="72"/>
      <c r="H10" s="73">
        <v>56</v>
      </c>
      <c r="I10" s="73">
        <v>34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0.30107526881720431</v>
      </c>
      <c r="I11" s="98">
        <f t="shared" si="3"/>
        <v>0.18279569892473119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0.43010752688172044</v>
      </c>
      <c r="AI11" s="98">
        <f t="shared" si="3"/>
        <v>8.6021505376344093E-2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0</v>
      </c>
      <c r="G12" s="72"/>
      <c r="H12" s="73">
        <v>0</v>
      </c>
      <c r="I12" s="73"/>
      <c r="J12" s="73">
        <v>0</v>
      </c>
      <c r="K12" s="73"/>
      <c r="L12" s="73"/>
      <c r="M12" s="73"/>
      <c r="N12" s="73">
        <v>0</v>
      </c>
      <c r="O12" s="73"/>
      <c r="P12" s="81"/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>
        <v>0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0</v>
      </c>
      <c r="AK12" s="73">
        <v>0</v>
      </c>
      <c r="AL12" s="73"/>
      <c r="AM12" s="73"/>
      <c r="AN12" s="73"/>
      <c r="AO12" s="73"/>
      <c r="AP12" s="73"/>
      <c r="AQ12" s="73">
        <v>0</v>
      </c>
      <c r="AR12" s="73">
        <v>0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 t="e">
        <f t="shared" ref="F13" si="4">SUM(H13:AU13)</f>
        <v>#DIV/0!</v>
      </c>
      <c r="G13" s="72" t="s">
        <v>224</v>
      </c>
      <c r="H13" s="88" t="e">
        <f>SUM(H12)/SUM($H$12:$AU$12)</f>
        <v>#DIV/0!</v>
      </c>
      <c r="I13" s="88" t="e">
        <f>SUM(I12)/SUM($H$12:$AU$12)</f>
        <v>#DIV/0!</v>
      </c>
      <c r="J13" s="88" t="e">
        <f>SUM(J12)/SUM($H$12:$AU$12)</f>
        <v>#DIV/0!</v>
      </c>
      <c r="K13" s="88" t="e">
        <f t="shared" ref="K13:AU13" si="5">SUM(K12)/SUM($H$12:$AU$12)</f>
        <v>#DIV/0!</v>
      </c>
      <c r="L13" s="88" t="e">
        <f t="shared" si="5"/>
        <v>#DIV/0!</v>
      </c>
      <c r="M13" s="88" t="e">
        <f t="shared" si="5"/>
        <v>#DIV/0!</v>
      </c>
      <c r="N13" s="88" t="e">
        <f t="shared" si="5"/>
        <v>#DIV/0!</v>
      </c>
      <c r="O13" s="88" t="e">
        <f t="shared" si="5"/>
        <v>#DIV/0!</v>
      </c>
      <c r="P13" s="88" t="e">
        <f t="shared" si="5"/>
        <v>#DIV/0!</v>
      </c>
      <c r="Q13" s="88" t="e">
        <f t="shared" si="5"/>
        <v>#DIV/0!</v>
      </c>
      <c r="R13" s="88" t="e">
        <f t="shared" si="5"/>
        <v>#DIV/0!</v>
      </c>
      <c r="S13" s="88" t="e">
        <f t="shared" si="5"/>
        <v>#DIV/0!</v>
      </c>
      <c r="T13" s="88" t="e">
        <f t="shared" si="5"/>
        <v>#DIV/0!</v>
      </c>
      <c r="U13" s="88" t="e">
        <f t="shared" si="5"/>
        <v>#DIV/0!</v>
      </c>
      <c r="V13" s="88" t="e">
        <f t="shared" si="5"/>
        <v>#DIV/0!</v>
      </c>
      <c r="W13" s="88" t="e">
        <f t="shared" si="5"/>
        <v>#DIV/0!</v>
      </c>
      <c r="X13" s="88" t="e">
        <f t="shared" si="5"/>
        <v>#DIV/0!</v>
      </c>
      <c r="Y13" s="88" t="e">
        <f t="shared" si="5"/>
        <v>#DIV/0!</v>
      </c>
      <c r="Z13" s="88" t="e">
        <f t="shared" si="5"/>
        <v>#DIV/0!</v>
      </c>
      <c r="AA13" s="88" t="e">
        <f t="shared" si="5"/>
        <v>#DIV/0!</v>
      </c>
      <c r="AB13" s="88" t="e">
        <f t="shared" si="5"/>
        <v>#DIV/0!</v>
      </c>
      <c r="AC13" s="88" t="e">
        <f t="shared" si="5"/>
        <v>#DIV/0!</v>
      </c>
      <c r="AD13" s="88" t="e">
        <f t="shared" si="5"/>
        <v>#DIV/0!</v>
      </c>
      <c r="AE13" s="88" t="e">
        <f t="shared" si="5"/>
        <v>#DIV/0!</v>
      </c>
      <c r="AF13" s="88" t="e">
        <f t="shared" si="5"/>
        <v>#DIV/0!</v>
      </c>
      <c r="AG13" s="88" t="e">
        <f t="shared" si="5"/>
        <v>#DIV/0!</v>
      </c>
      <c r="AH13" s="88" t="e">
        <f t="shared" si="5"/>
        <v>#DIV/0!</v>
      </c>
      <c r="AI13" s="88" t="e">
        <f t="shared" si="5"/>
        <v>#DIV/0!</v>
      </c>
      <c r="AJ13" s="88" t="e">
        <f t="shared" si="5"/>
        <v>#DIV/0!</v>
      </c>
      <c r="AK13" s="88" t="e">
        <f t="shared" si="5"/>
        <v>#DIV/0!</v>
      </c>
      <c r="AL13" s="88" t="e">
        <f t="shared" si="5"/>
        <v>#DIV/0!</v>
      </c>
      <c r="AM13" s="88" t="e">
        <f t="shared" si="5"/>
        <v>#DIV/0!</v>
      </c>
      <c r="AN13" s="88" t="e">
        <f t="shared" si="5"/>
        <v>#DIV/0!</v>
      </c>
      <c r="AO13" s="88" t="e">
        <f t="shared" si="5"/>
        <v>#DIV/0!</v>
      </c>
      <c r="AP13" s="88" t="e">
        <f t="shared" si="5"/>
        <v>#DIV/0!</v>
      </c>
      <c r="AQ13" s="88" t="e">
        <f t="shared" si="5"/>
        <v>#DIV/0!</v>
      </c>
      <c r="AR13" s="88" t="e">
        <f t="shared" si="5"/>
        <v>#DIV/0!</v>
      </c>
      <c r="AS13" s="88" t="e">
        <f t="shared" si="5"/>
        <v>#DIV/0!</v>
      </c>
      <c r="AT13" s="88" t="e">
        <f t="shared" si="5"/>
        <v>#DIV/0!</v>
      </c>
      <c r="AU13" s="88" t="e">
        <f t="shared" si="5"/>
        <v>#DIV/0!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E4:E5"/>
    <mergeCell ref="A1:D1"/>
    <mergeCell ref="A4:A5"/>
    <mergeCell ref="B4:B5"/>
    <mergeCell ref="C4:C5"/>
    <mergeCell ref="D4:D5"/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  <x14:dataValidation type="list" allowBlank="1" showInputMessage="1" showErrorMessage="1">
          <x14:formula1>
            <xm:f>месяц!$A$3:$A$14</xm:f>
          </x14:formula1>
          <xm:sqref>F1:G1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</sheetPr>
  <dimension ref="A1:BJ13"/>
  <sheetViews>
    <sheetView showGridLines="0" showZero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6" sqref="K16"/>
    </sheetView>
  </sheetViews>
  <sheetFormatPr defaultColWidth="8.85546875" defaultRowHeight="15" x14ac:dyDescent="0.25"/>
  <cols>
    <col min="1" max="1" width="5.28515625" style="1" customWidth="1"/>
    <col min="2" max="2" width="10.42578125" style="2" customWidth="1"/>
    <col min="3" max="3" width="49.7109375" style="1" customWidth="1"/>
    <col min="4" max="4" width="27.140625" style="1" customWidth="1"/>
    <col min="5" max="5" width="32.140625" style="1" customWidth="1"/>
    <col min="6" max="7" width="12.7109375" style="7" customWidth="1"/>
    <col min="8" max="9" width="11" style="2" customWidth="1"/>
    <col min="10" max="10" width="11.7109375" style="2" customWidth="1"/>
    <col min="11" max="11" width="13.85546875" style="2" customWidth="1"/>
    <col min="12" max="13" width="12.140625" style="2" customWidth="1"/>
    <col min="14" max="15" width="8.85546875" style="2" customWidth="1"/>
    <col min="16" max="16" width="9.42578125" style="2" customWidth="1"/>
    <col min="17" max="17" width="10.85546875" style="2" customWidth="1"/>
    <col min="18" max="18" width="10.7109375" style="2" customWidth="1"/>
    <col min="19" max="20" width="11.42578125" style="2" customWidth="1"/>
    <col min="21" max="21" width="10.7109375" style="2" customWidth="1"/>
    <col min="22" max="24" width="8.85546875" style="2" customWidth="1"/>
    <col min="25" max="25" width="11.28515625" style="2" customWidth="1"/>
    <col min="26" max="26" width="12.28515625" style="2" customWidth="1"/>
    <col min="27" max="27" width="13.28515625" style="2" customWidth="1"/>
    <col min="28" max="28" width="12.140625" style="2" customWidth="1"/>
    <col min="29" max="29" width="12.7109375" style="2" customWidth="1"/>
    <col min="30" max="30" width="11.85546875" style="2" customWidth="1"/>
    <col min="31" max="31" width="12.5703125" style="2" customWidth="1"/>
    <col min="32" max="32" width="15" style="2" customWidth="1"/>
    <col min="33" max="33" width="8.85546875" style="2" customWidth="1"/>
    <col min="34" max="34" width="11" style="2" customWidth="1"/>
    <col min="35" max="35" width="14.42578125" style="2" customWidth="1"/>
    <col min="36" max="37" width="11.28515625" style="2" customWidth="1"/>
    <col min="38" max="38" width="12.42578125" style="2" customWidth="1"/>
    <col min="39" max="39" width="11.140625" style="2" customWidth="1"/>
    <col min="40" max="41" width="10.85546875" style="2" customWidth="1"/>
    <col min="42" max="42" width="8.85546875" style="2"/>
    <col min="43" max="43" width="11" style="2" customWidth="1"/>
    <col min="44" max="44" width="10.5703125" style="2" customWidth="1"/>
    <col min="45" max="47" width="14.140625" style="2" customWidth="1"/>
    <col min="48" max="62" width="8.85546875" style="2"/>
    <col min="63" max="16384" width="8.85546875" style="1"/>
  </cols>
  <sheetData>
    <row r="1" spans="1:47" ht="18.75" x14ac:dyDescent="0.3">
      <c r="A1" s="121" t="s">
        <v>180</v>
      </c>
      <c r="B1" s="121"/>
      <c r="C1" s="121"/>
      <c r="D1" s="121"/>
      <c r="E1" s="8" t="s">
        <v>107</v>
      </c>
      <c r="F1" s="9" t="s">
        <v>123</v>
      </c>
      <c r="G1" s="9"/>
    </row>
    <row r="2" spans="1:47" x14ac:dyDescent="0.25">
      <c r="C2" s="2"/>
    </row>
    <row r="3" spans="1:47" x14ac:dyDescent="0.25">
      <c r="C3" s="2"/>
    </row>
    <row r="4" spans="1:47" ht="27.6" customHeight="1" x14ac:dyDescent="0.25">
      <c r="A4" s="134" t="s">
        <v>35</v>
      </c>
      <c r="B4" s="134" t="s">
        <v>126</v>
      </c>
      <c r="C4" s="134" t="s">
        <v>110</v>
      </c>
      <c r="D4" s="134" t="s">
        <v>111</v>
      </c>
      <c r="E4" s="134" t="s">
        <v>112</v>
      </c>
      <c r="F4" s="135" t="s">
        <v>34</v>
      </c>
      <c r="G4" s="94"/>
      <c r="H4" s="138" t="s">
        <v>238</v>
      </c>
      <c r="I4" s="140"/>
      <c r="J4" s="140"/>
      <c r="K4" s="139"/>
      <c r="L4" s="138" t="s">
        <v>232</v>
      </c>
      <c r="M4" s="139"/>
      <c r="N4" s="138" t="s">
        <v>239</v>
      </c>
      <c r="O4" s="139"/>
      <c r="P4" s="143" t="s">
        <v>247</v>
      </c>
      <c r="Q4" s="138" t="s">
        <v>240</v>
      </c>
      <c r="R4" s="140"/>
      <c r="S4" s="140"/>
      <c r="T4" s="140"/>
      <c r="U4" s="140"/>
      <c r="V4" s="140"/>
      <c r="W4" s="140"/>
      <c r="X4" s="140"/>
      <c r="Y4" s="139"/>
      <c r="Z4" s="138" t="s">
        <v>241</v>
      </c>
      <c r="AA4" s="139"/>
      <c r="AB4" s="138" t="s">
        <v>242</v>
      </c>
      <c r="AC4" s="140"/>
      <c r="AD4" s="140"/>
      <c r="AE4" s="140"/>
      <c r="AF4" s="140"/>
      <c r="AG4" s="139"/>
      <c r="AH4" s="138" t="s">
        <v>237</v>
      </c>
      <c r="AI4" s="140"/>
      <c r="AJ4" s="140"/>
      <c r="AK4" s="140"/>
      <c r="AL4" s="140"/>
      <c r="AM4" s="140"/>
      <c r="AN4" s="140"/>
      <c r="AO4" s="140"/>
      <c r="AP4" s="140"/>
      <c r="AQ4" s="139"/>
      <c r="AR4" s="93"/>
      <c r="AS4" s="141" t="s">
        <v>244</v>
      </c>
      <c r="AT4" s="142"/>
      <c r="AU4" s="142"/>
    </row>
    <row r="5" spans="1:47" s="3" customFormat="1" ht="111" customHeight="1" x14ac:dyDescent="0.25">
      <c r="A5" s="134"/>
      <c r="B5" s="134"/>
      <c r="C5" s="134"/>
      <c r="D5" s="134"/>
      <c r="E5" s="134"/>
      <c r="F5" s="136"/>
      <c r="G5" s="114"/>
      <c r="H5" s="6" t="s">
        <v>248</v>
      </c>
      <c r="I5" s="6" t="s">
        <v>249</v>
      </c>
      <c r="J5" s="6" t="s">
        <v>87</v>
      </c>
      <c r="K5" s="6" t="s">
        <v>88</v>
      </c>
      <c r="L5" s="6" t="s">
        <v>235</v>
      </c>
      <c r="M5" s="6" t="s">
        <v>234</v>
      </c>
      <c r="N5" s="6" t="s">
        <v>3</v>
      </c>
      <c r="O5" s="6" t="s">
        <v>4</v>
      </c>
      <c r="P5" s="144"/>
      <c r="Q5" s="6" t="s">
        <v>277</v>
      </c>
      <c r="R5" s="6" t="s">
        <v>251</v>
      </c>
      <c r="S5" s="6" t="s">
        <v>252</v>
      </c>
      <c r="T5" s="6" t="s">
        <v>278</v>
      </c>
      <c r="U5" s="6" t="s">
        <v>233</v>
      </c>
      <c r="V5" s="6" t="s">
        <v>231</v>
      </c>
      <c r="W5" s="6" t="s">
        <v>229</v>
      </c>
      <c r="X5" s="6" t="s">
        <v>230</v>
      </c>
      <c r="Y5" s="6" t="s">
        <v>254</v>
      </c>
      <c r="Z5" s="6" t="s">
        <v>255</v>
      </c>
      <c r="AA5" s="6" t="s">
        <v>226</v>
      </c>
      <c r="AB5" s="6" t="s">
        <v>253</v>
      </c>
      <c r="AC5" s="6" t="s">
        <v>256</v>
      </c>
      <c r="AD5" s="6" t="s">
        <v>257</v>
      </c>
      <c r="AE5" s="6" t="s">
        <v>258</v>
      </c>
      <c r="AF5" s="6" t="s">
        <v>259</v>
      </c>
      <c r="AG5" s="6" t="s">
        <v>228</v>
      </c>
      <c r="AH5" s="6" t="s">
        <v>260</v>
      </c>
      <c r="AI5" s="6" t="s">
        <v>227</v>
      </c>
      <c r="AJ5" s="6" t="s">
        <v>265</v>
      </c>
      <c r="AK5" s="6" t="s">
        <v>266</v>
      </c>
      <c r="AL5" s="6" t="s">
        <v>267</v>
      </c>
      <c r="AM5" s="6" t="s">
        <v>261</v>
      </c>
      <c r="AN5" s="6" t="s">
        <v>262</v>
      </c>
      <c r="AO5" s="6" t="s">
        <v>263</v>
      </c>
      <c r="AP5" s="6" t="s">
        <v>264</v>
      </c>
      <c r="AQ5" s="6" t="s">
        <v>225</v>
      </c>
      <c r="AR5" s="6" t="s">
        <v>236</v>
      </c>
      <c r="AS5" s="6" t="s">
        <v>243</v>
      </c>
      <c r="AT5" s="6" t="s">
        <v>245</v>
      </c>
      <c r="AU5" s="6" t="s">
        <v>246</v>
      </c>
    </row>
    <row r="6" spans="1:47" ht="25.5" customHeight="1" x14ac:dyDescent="0.25">
      <c r="A6" s="71">
        <v>1</v>
      </c>
      <c r="B6" s="80" t="s">
        <v>268</v>
      </c>
      <c r="C6" s="90" t="str">
        <f>IF(B6&lt;&gt;0,(VLOOKUP($B6,сотрудники!$B$4:$D$217,2,0)),0)</f>
        <v>Хабаров Д.Б.</v>
      </c>
      <c r="D6" s="71" t="str">
        <f>IF(C6&lt;&gt;0,(VLOOKUP($B6,сотрудники!$B$4:$D$217,3,0)),0)</f>
        <v>Руководитель группы</v>
      </c>
      <c r="E6" s="71" t="str">
        <f>IF(D6&lt;&gt;0,(VLOOKUP($B6,сотрудники!$B$4:$E$217,4,0)),0)</f>
        <v>Производственно-технический отдел</v>
      </c>
      <c r="F6" s="72">
        <f>SUM(H6:AU6)</f>
        <v>136</v>
      </c>
      <c r="G6" s="72"/>
      <c r="H6" s="73">
        <v>16</v>
      </c>
      <c r="I6" s="73"/>
      <c r="J6" s="73">
        <v>13</v>
      </c>
      <c r="K6" s="73"/>
      <c r="L6" s="73"/>
      <c r="M6" s="73"/>
      <c r="N6" s="73">
        <v>4</v>
      </c>
      <c r="O6" s="73"/>
      <c r="P6" s="81"/>
      <c r="Q6" s="73">
        <v>20</v>
      </c>
      <c r="R6" s="73">
        <v>2</v>
      </c>
      <c r="S6" s="73">
        <v>2</v>
      </c>
      <c r="T6" s="73">
        <v>2</v>
      </c>
      <c r="U6" s="73">
        <v>2</v>
      </c>
      <c r="V6" s="73">
        <v>2</v>
      </c>
      <c r="W6" s="73">
        <v>2</v>
      </c>
      <c r="X6" s="73"/>
      <c r="Y6" s="73">
        <v>16</v>
      </c>
      <c r="Z6" s="73">
        <v>1</v>
      </c>
      <c r="AA6" s="73">
        <v>10</v>
      </c>
      <c r="AB6" s="73"/>
      <c r="AC6" s="73"/>
      <c r="AD6" s="73"/>
      <c r="AE6" s="73"/>
      <c r="AF6" s="73"/>
      <c r="AG6" s="73"/>
      <c r="AH6" s="73">
        <v>16</v>
      </c>
      <c r="AI6" s="73"/>
      <c r="AJ6" s="73">
        <v>4</v>
      </c>
      <c r="AK6" s="73">
        <v>4</v>
      </c>
      <c r="AL6" s="73"/>
      <c r="AM6" s="73"/>
      <c r="AN6" s="73"/>
      <c r="AO6" s="73"/>
      <c r="AP6" s="73"/>
      <c r="AQ6" s="73">
        <v>4</v>
      </c>
      <c r="AR6" s="73">
        <v>16</v>
      </c>
      <c r="AS6" s="73"/>
      <c r="AT6" s="73"/>
      <c r="AU6" s="73"/>
    </row>
    <row r="7" spans="1:47" x14ac:dyDescent="0.25">
      <c r="A7" s="71"/>
      <c r="B7" s="80"/>
      <c r="C7" s="71"/>
      <c r="D7" s="71"/>
      <c r="E7" s="71"/>
      <c r="F7" s="72">
        <f t="shared" ref="F7:F11" si="0">SUM(H7:AU7)</f>
        <v>1</v>
      </c>
      <c r="G7" s="72" t="s">
        <v>224</v>
      </c>
      <c r="H7" s="88">
        <f t="shared" ref="H7:AU7" si="1">SUM(H6)/SUM($H$6:$AU$6)</f>
        <v>0.11764705882352941</v>
      </c>
      <c r="I7" s="88">
        <f t="shared" si="1"/>
        <v>0</v>
      </c>
      <c r="J7" s="88">
        <f t="shared" si="1"/>
        <v>9.5588235294117641E-2</v>
      </c>
      <c r="K7" s="88">
        <f t="shared" si="1"/>
        <v>0</v>
      </c>
      <c r="L7" s="88">
        <f t="shared" si="1"/>
        <v>0</v>
      </c>
      <c r="M7" s="88">
        <f t="shared" si="1"/>
        <v>0</v>
      </c>
      <c r="N7" s="88">
        <f t="shared" si="1"/>
        <v>2.9411764705882353E-2</v>
      </c>
      <c r="O7" s="88">
        <f t="shared" si="1"/>
        <v>0</v>
      </c>
      <c r="P7" s="89">
        <f t="shared" si="1"/>
        <v>0</v>
      </c>
      <c r="Q7" s="95">
        <f t="shared" si="1"/>
        <v>0.14705882352941177</v>
      </c>
      <c r="R7" s="95">
        <f t="shared" si="1"/>
        <v>1.4705882352941176E-2</v>
      </c>
      <c r="S7" s="95">
        <f t="shared" si="1"/>
        <v>1.4705882352941176E-2</v>
      </c>
      <c r="T7" s="95">
        <f t="shared" si="1"/>
        <v>1.4705882352941176E-2</v>
      </c>
      <c r="U7" s="95">
        <f t="shared" si="1"/>
        <v>1.4705882352941176E-2</v>
      </c>
      <c r="V7" s="95">
        <f t="shared" si="1"/>
        <v>1.4705882352941176E-2</v>
      </c>
      <c r="W7" s="95">
        <f t="shared" si="1"/>
        <v>1.4705882352941176E-2</v>
      </c>
      <c r="X7" s="95">
        <f t="shared" si="1"/>
        <v>0</v>
      </c>
      <c r="Y7" s="95">
        <f t="shared" si="1"/>
        <v>0.11764705882352941</v>
      </c>
      <c r="Z7" s="95">
        <f t="shared" si="1"/>
        <v>7.3529411764705881E-3</v>
      </c>
      <c r="AA7" s="95">
        <f t="shared" si="1"/>
        <v>7.3529411764705885E-2</v>
      </c>
      <c r="AB7" s="95">
        <f t="shared" si="1"/>
        <v>0</v>
      </c>
      <c r="AC7" s="95">
        <f t="shared" si="1"/>
        <v>0</v>
      </c>
      <c r="AD7" s="95">
        <f t="shared" si="1"/>
        <v>0</v>
      </c>
      <c r="AE7" s="95">
        <f t="shared" si="1"/>
        <v>0</v>
      </c>
      <c r="AF7" s="95">
        <f t="shared" si="1"/>
        <v>0</v>
      </c>
      <c r="AG7" s="95">
        <f t="shared" si="1"/>
        <v>0</v>
      </c>
      <c r="AH7" s="95">
        <f t="shared" si="1"/>
        <v>0.11764705882352941</v>
      </c>
      <c r="AI7" s="95">
        <f t="shared" si="1"/>
        <v>0</v>
      </c>
      <c r="AJ7" s="95">
        <f t="shared" si="1"/>
        <v>2.9411764705882353E-2</v>
      </c>
      <c r="AK7" s="95">
        <f t="shared" si="1"/>
        <v>2.9411764705882353E-2</v>
      </c>
      <c r="AL7" s="95">
        <f t="shared" si="1"/>
        <v>0</v>
      </c>
      <c r="AM7" s="96">
        <f t="shared" si="1"/>
        <v>0</v>
      </c>
      <c r="AN7" s="96">
        <f t="shared" si="1"/>
        <v>0</v>
      </c>
      <c r="AO7" s="96">
        <f t="shared" si="1"/>
        <v>0</v>
      </c>
      <c r="AP7" s="95">
        <f t="shared" si="1"/>
        <v>0</v>
      </c>
      <c r="AQ7" s="95">
        <f t="shared" si="1"/>
        <v>2.9411764705882353E-2</v>
      </c>
      <c r="AR7" s="88">
        <f t="shared" si="1"/>
        <v>0.11764705882352941</v>
      </c>
      <c r="AS7" s="88">
        <f t="shared" si="1"/>
        <v>0</v>
      </c>
      <c r="AT7" s="88">
        <f t="shared" si="1"/>
        <v>0</v>
      </c>
      <c r="AU7" s="88">
        <f t="shared" si="1"/>
        <v>0</v>
      </c>
    </row>
    <row r="8" spans="1:47" ht="21" customHeight="1" x14ac:dyDescent="0.25">
      <c r="A8" s="71">
        <v>2</v>
      </c>
      <c r="B8" s="80" t="s">
        <v>270</v>
      </c>
      <c r="C8" s="90" t="str">
        <f>IF(B8&lt;&gt;0,(VLOOKUP($B8,сотрудники!$B$4:$D$217,2,0)),0)</f>
        <v>Агеев В.А.</v>
      </c>
      <c r="D8" s="71" t="str">
        <f>IF(C8&lt;&gt;0,(VLOOKUP($B8,сотрудники!$B$4:$D$217,3,0)),0)</f>
        <v>Ведущий инженер</v>
      </c>
      <c r="E8" s="71" t="s">
        <v>76</v>
      </c>
      <c r="F8" s="72">
        <f t="shared" si="0"/>
        <v>111</v>
      </c>
      <c r="G8" s="72"/>
      <c r="H8" s="73">
        <v>20</v>
      </c>
      <c r="I8" s="73"/>
      <c r="J8" s="73"/>
      <c r="K8" s="73"/>
      <c r="L8" s="73"/>
      <c r="M8" s="73"/>
      <c r="N8" s="73"/>
      <c r="O8" s="73"/>
      <c r="P8" s="81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>
        <v>28</v>
      </c>
      <c r="AM8" s="73">
        <v>30</v>
      </c>
      <c r="AN8" s="73">
        <v>30</v>
      </c>
      <c r="AO8" s="73">
        <v>3</v>
      </c>
      <c r="AP8" s="73"/>
      <c r="AQ8" s="73"/>
      <c r="AR8" s="73"/>
      <c r="AS8" s="73"/>
      <c r="AT8" s="73"/>
      <c r="AU8" s="73"/>
    </row>
    <row r="9" spans="1:47" x14ac:dyDescent="0.25">
      <c r="A9" s="71"/>
      <c r="B9" s="80"/>
      <c r="C9" s="71"/>
      <c r="D9" s="71"/>
      <c r="E9" s="71"/>
      <c r="F9" s="72">
        <f t="shared" si="0"/>
        <v>1</v>
      </c>
      <c r="G9" s="72" t="s">
        <v>224</v>
      </c>
      <c r="H9" s="95">
        <f t="shared" ref="H9:AU9" si="2">SUM(H8)/SUM($H$8:$AU$8)</f>
        <v>0.18018018018018017</v>
      </c>
      <c r="I9" s="95">
        <f t="shared" si="2"/>
        <v>0</v>
      </c>
      <c r="J9" s="95">
        <f t="shared" si="2"/>
        <v>0</v>
      </c>
      <c r="K9" s="95">
        <f t="shared" si="2"/>
        <v>0</v>
      </c>
      <c r="L9" s="95">
        <f t="shared" si="2"/>
        <v>0</v>
      </c>
      <c r="M9" s="95">
        <f t="shared" si="2"/>
        <v>0</v>
      </c>
      <c r="N9" s="95">
        <f t="shared" si="2"/>
        <v>0</v>
      </c>
      <c r="O9" s="95">
        <f t="shared" si="2"/>
        <v>0</v>
      </c>
      <c r="P9" s="97">
        <f t="shared" si="2"/>
        <v>0</v>
      </c>
      <c r="Q9" s="95">
        <f t="shared" si="2"/>
        <v>0</v>
      </c>
      <c r="R9" s="95">
        <f t="shared" si="2"/>
        <v>0</v>
      </c>
      <c r="S9" s="95">
        <f t="shared" si="2"/>
        <v>0</v>
      </c>
      <c r="T9" s="95"/>
      <c r="U9" s="95">
        <f t="shared" si="2"/>
        <v>0</v>
      </c>
      <c r="V9" s="95">
        <f t="shared" si="2"/>
        <v>0</v>
      </c>
      <c r="W9" s="95">
        <f t="shared" si="2"/>
        <v>0</v>
      </c>
      <c r="X9" s="95">
        <f t="shared" si="2"/>
        <v>0</v>
      </c>
      <c r="Y9" s="95">
        <f t="shared" si="2"/>
        <v>0</v>
      </c>
      <c r="Z9" s="95">
        <f t="shared" si="2"/>
        <v>0</v>
      </c>
      <c r="AA9" s="95">
        <f t="shared" si="2"/>
        <v>0</v>
      </c>
      <c r="AB9" s="95">
        <f t="shared" si="2"/>
        <v>0</v>
      </c>
      <c r="AC9" s="95">
        <f t="shared" si="2"/>
        <v>0</v>
      </c>
      <c r="AD9" s="95">
        <f t="shared" si="2"/>
        <v>0</v>
      </c>
      <c r="AE9" s="95">
        <f t="shared" si="2"/>
        <v>0</v>
      </c>
      <c r="AF9" s="95">
        <f t="shared" si="2"/>
        <v>0</v>
      </c>
      <c r="AG9" s="95">
        <f t="shared" si="2"/>
        <v>0</v>
      </c>
      <c r="AH9" s="95">
        <f t="shared" si="2"/>
        <v>0</v>
      </c>
      <c r="AI9" s="95">
        <f t="shared" si="2"/>
        <v>0</v>
      </c>
      <c r="AJ9" s="95">
        <f t="shared" si="2"/>
        <v>0</v>
      </c>
      <c r="AK9" s="95">
        <f t="shared" si="2"/>
        <v>0</v>
      </c>
      <c r="AL9" s="95">
        <f t="shared" si="2"/>
        <v>0.25225225225225223</v>
      </c>
      <c r="AM9" s="96">
        <f t="shared" si="2"/>
        <v>0.27027027027027029</v>
      </c>
      <c r="AN9" s="96">
        <f t="shared" si="2"/>
        <v>0.27027027027027029</v>
      </c>
      <c r="AO9" s="96">
        <f t="shared" si="2"/>
        <v>2.7027027027027029E-2</v>
      </c>
      <c r="AP9" s="95">
        <f t="shared" si="2"/>
        <v>0</v>
      </c>
      <c r="AQ9" s="95">
        <f t="shared" si="2"/>
        <v>0</v>
      </c>
      <c r="AR9" s="88">
        <f t="shared" si="2"/>
        <v>0</v>
      </c>
      <c r="AS9" s="88">
        <f t="shared" si="2"/>
        <v>0</v>
      </c>
      <c r="AT9" s="88">
        <f t="shared" si="2"/>
        <v>0</v>
      </c>
      <c r="AU9" s="88">
        <f t="shared" si="2"/>
        <v>0</v>
      </c>
    </row>
    <row r="10" spans="1:47" x14ac:dyDescent="0.25">
      <c r="A10" s="71">
        <v>3</v>
      </c>
      <c r="B10" s="80" t="s">
        <v>272</v>
      </c>
      <c r="C10" s="90" t="str">
        <f>IF(B10&lt;&gt;0,(VLOOKUP($B10,сотрудники!$B$4:$D$217,2,0)),0)</f>
        <v>Линев А.В.</v>
      </c>
      <c r="D10" s="71" t="str">
        <f>IF(C10&lt;&gt;0,(VLOOKUP($B10,сотрудники!$B$4:$D$217,3,0)),0)</f>
        <v>Ведущий инженер</v>
      </c>
      <c r="E10" s="71" t="s">
        <v>76</v>
      </c>
      <c r="F10" s="72">
        <f t="shared" si="0"/>
        <v>157</v>
      </c>
      <c r="G10" s="72"/>
      <c r="H10" s="73">
        <v>36</v>
      </c>
      <c r="I10" s="73">
        <v>25</v>
      </c>
      <c r="J10" s="73"/>
      <c r="K10" s="73"/>
      <c r="L10" s="73"/>
      <c r="M10" s="73"/>
      <c r="N10" s="73"/>
      <c r="O10" s="73"/>
      <c r="P10" s="81"/>
      <c r="Q10" s="73">
        <v>0</v>
      </c>
      <c r="R10" s="73"/>
      <c r="S10" s="73"/>
      <c r="T10" s="73"/>
      <c r="U10" s="73">
        <v>0</v>
      </c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>
        <v>80</v>
      </c>
      <c r="AI10" s="73">
        <v>16</v>
      </c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</row>
    <row r="11" spans="1:47" x14ac:dyDescent="0.25">
      <c r="A11" s="71"/>
      <c r="B11" s="80"/>
      <c r="C11" s="71"/>
      <c r="D11" s="71"/>
      <c r="E11" s="71"/>
      <c r="F11" s="72">
        <f t="shared" si="0"/>
        <v>1</v>
      </c>
      <c r="G11" s="72" t="s">
        <v>224</v>
      </c>
      <c r="H11" s="98">
        <f t="shared" ref="H11:AU11" si="3">SUM(H10)/SUM($H$10:$AU$10)</f>
        <v>0.22929936305732485</v>
      </c>
      <c r="I11" s="98">
        <f t="shared" si="3"/>
        <v>0.15923566878980891</v>
      </c>
      <c r="J11" s="98">
        <f t="shared" si="3"/>
        <v>0</v>
      </c>
      <c r="K11" s="98">
        <f t="shared" si="3"/>
        <v>0</v>
      </c>
      <c r="L11" s="98">
        <f t="shared" si="3"/>
        <v>0</v>
      </c>
      <c r="M11" s="98">
        <f t="shared" si="3"/>
        <v>0</v>
      </c>
      <c r="N11" s="98">
        <f t="shared" si="3"/>
        <v>0</v>
      </c>
      <c r="O11" s="98">
        <f t="shared" si="3"/>
        <v>0</v>
      </c>
      <c r="P11" s="99">
        <f t="shared" si="3"/>
        <v>0</v>
      </c>
      <c r="Q11" s="98">
        <f t="shared" si="3"/>
        <v>0</v>
      </c>
      <c r="R11" s="98">
        <f t="shared" si="3"/>
        <v>0</v>
      </c>
      <c r="S11" s="98">
        <f t="shared" si="3"/>
        <v>0</v>
      </c>
      <c r="T11" s="98"/>
      <c r="U11" s="98">
        <f t="shared" si="3"/>
        <v>0</v>
      </c>
      <c r="V11" s="98">
        <f t="shared" si="3"/>
        <v>0</v>
      </c>
      <c r="W11" s="98">
        <f t="shared" si="3"/>
        <v>0</v>
      </c>
      <c r="X11" s="98">
        <f t="shared" si="3"/>
        <v>0</v>
      </c>
      <c r="Y11" s="98">
        <f t="shared" si="3"/>
        <v>0</v>
      </c>
      <c r="Z11" s="98">
        <f t="shared" si="3"/>
        <v>0</v>
      </c>
      <c r="AA11" s="98">
        <f t="shared" si="3"/>
        <v>0</v>
      </c>
      <c r="AB11" s="98">
        <f t="shared" si="3"/>
        <v>0</v>
      </c>
      <c r="AC11" s="98">
        <f t="shared" si="3"/>
        <v>0</v>
      </c>
      <c r="AD11" s="98">
        <f t="shared" si="3"/>
        <v>0</v>
      </c>
      <c r="AE11" s="98">
        <f t="shared" si="3"/>
        <v>0</v>
      </c>
      <c r="AF11" s="98">
        <f t="shared" si="3"/>
        <v>0</v>
      </c>
      <c r="AG11" s="98">
        <f t="shared" si="3"/>
        <v>0</v>
      </c>
      <c r="AH11" s="98">
        <f t="shared" si="3"/>
        <v>0.50955414012738853</v>
      </c>
      <c r="AI11" s="98">
        <f t="shared" si="3"/>
        <v>0.10191082802547771</v>
      </c>
      <c r="AJ11" s="98">
        <f t="shared" si="3"/>
        <v>0</v>
      </c>
      <c r="AK11" s="98">
        <f t="shared" si="3"/>
        <v>0</v>
      </c>
      <c r="AL11" s="98">
        <f t="shared" si="3"/>
        <v>0</v>
      </c>
      <c r="AM11" s="98">
        <f t="shared" si="3"/>
        <v>0</v>
      </c>
      <c r="AN11" s="98">
        <f t="shared" si="3"/>
        <v>0</v>
      </c>
      <c r="AO11" s="98">
        <f t="shared" si="3"/>
        <v>0</v>
      </c>
      <c r="AP11" s="98">
        <f t="shared" si="3"/>
        <v>0</v>
      </c>
      <c r="AQ11" s="98">
        <f t="shared" si="3"/>
        <v>0</v>
      </c>
      <c r="AR11" s="98">
        <f t="shared" si="3"/>
        <v>0</v>
      </c>
      <c r="AS11" s="98">
        <f t="shared" si="3"/>
        <v>0</v>
      </c>
      <c r="AT11" s="98">
        <f t="shared" si="3"/>
        <v>0</v>
      </c>
      <c r="AU11" s="98">
        <f t="shared" si="3"/>
        <v>0</v>
      </c>
    </row>
    <row r="12" spans="1:47" x14ac:dyDescent="0.25">
      <c r="A12" s="71">
        <v>1</v>
      </c>
      <c r="B12" s="80" t="s">
        <v>279</v>
      </c>
      <c r="C12" s="90" t="s">
        <v>280</v>
      </c>
      <c r="D12" s="71" t="s">
        <v>37</v>
      </c>
      <c r="E12" s="71" t="s">
        <v>76</v>
      </c>
      <c r="F12" s="72">
        <f>SUM(H12:AU12)</f>
        <v>0</v>
      </c>
      <c r="G12" s="72"/>
      <c r="H12" s="73">
        <v>0</v>
      </c>
      <c r="I12" s="73"/>
      <c r="J12" s="73">
        <v>0</v>
      </c>
      <c r="K12" s="73"/>
      <c r="L12" s="73"/>
      <c r="M12" s="73"/>
      <c r="N12" s="73">
        <v>0</v>
      </c>
      <c r="O12" s="73"/>
      <c r="P12" s="81"/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>
        <v>0</v>
      </c>
      <c r="Z12" s="73">
        <v>0</v>
      </c>
      <c r="AA12" s="73">
        <v>0</v>
      </c>
      <c r="AB12" s="73"/>
      <c r="AC12" s="73"/>
      <c r="AD12" s="73"/>
      <c r="AE12" s="73"/>
      <c r="AF12" s="73"/>
      <c r="AG12" s="73"/>
      <c r="AH12" s="73">
        <v>0</v>
      </c>
      <c r="AI12" s="73"/>
      <c r="AJ12" s="73">
        <v>0</v>
      </c>
      <c r="AK12" s="73">
        <v>0</v>
      </c>
      <c r="AL12" s="73"/>
      <c r="AM12" s="73"/>
      <c r="AN12" s="73"/>
      <c r="AO12" s="73"/>
      <c r="AP12" s="73"/>
      <c r="AQ12" s="73">
        <v>0</v>
      </c>
      <c r="AR12" s="73">
        <v>0</v>
      </c>
      <c r="AS12" s="73"/>
      <c r="AT12" s="73"/>
      <c r="AU12" s="73"/>
    </row>
    <row r="13" spans="1:47" x14ac:dyDescent="0.25">
      <c r="A13" s="71"/>
      <c r="B13" s="80"/>
      <c r="C13" s="71"/>
      <c r="D13" s="71"/>
      <c r="E13" s="71"/>
      <c r="F13" s="72" t="e">
        <f t="shared" ref="F13" si="4">SUM(H13:AU13)</f>
        <v>#DIV/0!</v>
      </c>
      <c r="G13" s="72" t="s">
        <v>224</v>
      </c>
      <c r="H13" s="88" t="e">
        <f>SUM(H12)/SUM($H$12:$AU$12)</f>
        <v>#DIV/0!</v>
      </c>
      <c r="I13" s="88" t="e">
        <f>SUM(I12)/SUM($H$12:$AU$12)</f>
        <v>#DIV/0!</v>
      </c>
      <c r="J13" s="88" t="e">
        <f>SUM(J12)/SUM($H$12:$AU$12)</f>
        <v>#DIV/0!</v>
      </c>
      <c r="K13" s="88" t="e">
        <f t="shared" ref="K13:AU13" si="5">SUM(K12)/SUM($H$12:$AU$12)</f>
        <v>#DIV/0!</v>
      </c>
      <c r="L13" s="88" t="e">
        <f t="shared" si="5"/>
        <v>#DIV/0!</v>
      </c>
      <c r="M13" s="88" t="e">
        <f t="shared" si="5"/>
        <v>#DIV/0!</v>
      </c>
      <c r="N13" s="88" t="e">
        <f t="shared" si="5"/>
        <v>#DIV/0!</v>
      </c>
      <c r="O13" s="88" t="e">
        <f t="shared" si="5"/>
        <v>#DIV/0!</v>
      </c>
      <c r="P13" s="88" t="e">
        <f t="shared" si="5"/>
        <v>#DIV/0!</v>
      </c>
      <c r="Q13" s="88" t="e">
        <f t="shared" si="5"/>
        <v>#DIV/0!</v>
      </c>
      <c r="R13" s="88" t="e">
        <f t="shared" si="5"/>
        <v>#DIV/0!</v>
      </c>
      <c r="S13" s="88" t="e">
        <f t="shared" si="5"/>
        <v>#DIV/0!</v>
      </c>
      <c r="T13" s="88" t="e">
        <f t="shared" si="5"/>
        <v>#DIV/0!</v>
      </c>
      <c r="U13" s="88" t="e">
        <f t="shared" si="5"/>
        <v>#DIV/0!</v>
      </c>
      <c r="V13" s="88" t="e">
        <f t="shared" si="5"/>
        <v>#DIV/0!</v>
      </c>
      <c r="W13" s="88" t="e">
        <f t="shared" si="5"/>
        <v>#DIV/0!</v>
      </c>
      <c r="X13" s="88" t="e">
        <f t="shared" si="5"/>
        <v>#DIV/0!</v>
      </c>
      <c r="Y13" s="88" t="e">
        <f t="shared" si="5"/>
        <v>#DIV/0!</v>
      </c>
      <c r="Z13" s="88" t="e">
        <f t="shared" si="5"/>
        <v>#DIV/0!</v>
      </c>
      <c r="AA13" s="88" t="e">
        <f t="shared" si="5"/>
        <v>#DIV/0!</v>
      </c>
      <c r="AB13" s="88" t="e">
        <f t="shared" si="5"/>
        <v>#DIV/0!</v>
      </c>
      <c r="AC13" s="88" t="e">
        <f t="shared" si="5"/>
        <v>#DIV/0!</v>
      </c>
      <c r="AD13" s="88" t="e">
        <f t="shared" si="5"/>
        <v>#DIV/0!</v>
      </c>
      <c r="AE13" s="88" t="e">
        <f t="shared" si="5"/>
        <v>#DIV/0!</v>
      </c>
      <c r="AF13" s="88" t="e">
        <f t="shared" si="5"/>
        <v>#DIV/0!</v>
      </c>
      <c r="AG13" s="88" t="e">
        <f t="shared" si="5"/>
        <v>#DIV/0!</v>
      </c>
      <c r="AH13" s="88" t="e">
        <f t="shared" si="5"/>
        <v>#DIV/0!</v>
      </c>
      <c r="AI13" s="88" t="e">
        <f t="shared" si="5"/>
        <v>#DIV/0!</v>
      </c>
      <c r="AJ13" s="88" t="e">
        <f t="shared" si="5"/>
        <v>#DIV/0!</v>
      </c>
      <c r="AK13" s="88" t="e">
        <f t="shared" si="5"/>
        <v>#DIV/0!</v>
      </c>
      <c r="AL13" s="88" t="e">
        <f t="shared" si="5"/>
        <v>#DIV/0!</v>
      </c>
      <c r="AM13" s="88" t="e">
        <f t="shared" si="5"/>
        <v>#DIV/0!</v>
      </c>
      <c r="AN13" s="88" t="e">
        <f t="shared" si="5"/>
        <v>#DIV/0!</v>
      </c>
      <c r="AO13" s="88" t="e">
        <f t="shared" si="5"/>
        <v>#DIV/0!</v>
      </c>
      <c r="AP13" s="88" t="e">
        <f t="shared" si="5"/>
        <v>#DIV/0!</v>
      </c>
      <c r="AQ13" s="88" t="e">
        <f t="shared" si="5"/>
        <v>#DIV/0!</v>
      </c>
      <c r="AR13" s="88" t="e">
        <f t="shared" si="5"/>
        <v>#DIV/0!</v>
      </c>
      <c r="AS13" s="88" t="e">
        <f t="shared" si="5"/>
        <v>#DIV/0!</v>
      </c>
      <c r="AT13" s="88" t="e">
        <f t="shared" si="5"/>
        <v>#DIV/0!</v>
      </c>
      <c r="AU13" s="88" t="e">
        <f t="shared" si="5"/>
        <v>#DIV/0!</v>
      </c>
    </row>
  </sheetData>
  <autoFilter ref="A4:AR11">
    <filterColumn colId="7" showButton="0"/>
    <filterColumn colId="8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</autoFilter>
  <mergeCells count="16">
    <mergeCell ref="Z4:AA4"/>
    <mergeCell ref="AB4:AG4"/>
    <mergeCell ref="AH4:AQ4"/>
    <mergeCell ref="AS4:AU4"/>
    <mergeCell ref="F4:F5"/>
    <mergeCell ref="H4:K4"/>
    <mergeCell ref="L4:M4"/>
    <mergeCell ref="N4:O4"/>
    <mergeCell ref="P4:P5"/>
    <mergeCell ref="Q4:Y4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месяц!$A$3:$A$14</xm:f>
          </x14:formula1>
          <xm:sqref>F1:G1</xm:sqref>
        </x14:dataValidation>
        <x14:dataValidation type="list" allowBlank="1" showInputMessage="1" showErrorMessage="1">
          <x14:formula1>
            <xm:f>Департамент!$A$3:$A$8</xm:f>
          </x14:formula1>
          <xm:sqref>A1:D1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7"/>
  <sheetViews>
    <sheetView workbookViewId="0">
      <selection activeCell="A33" sqref="A33"/>
    </sheetView>
  </sheetViews>
  <sheetFormatPr defaultRowHeight="15" x14ac:dyDescent="0.25"/>
  <cols>
    <col min="1" max="1" width="83.28515625" customWidth="1"/>
  </cols>
  <sheetData>
    <row r="3" spans="1:1" x14ac:dyDescent="0.25">
      <c r="A3" t="s">
        <v>180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2</vt:i4>
      </vt:variant>
    </vt:vector>
  </HeadingPairs>
  <TitlesOfParts>
    <vt:vector size="30" baseType="lpstr">
      <vt:lpstr>личный дневной (печатная форма)</vt:lpstr>
      <vt:lpstr>личный месяц (печатная форма)</vt:lpstr>
      <vt:lpstr>сотрудники</vt:lpstr>
      <vt:lpstr>Подразделения</vt:lpstr>
      <vt:lpstr>Должности</vt:lpstr>
      <vt:lpstr>Август</vt:lpstr>
      <vt:lpstr>месяц</vt:lpstr>
      <vt:lpstr>Август 2024</vt:lpstr>
      <vt:lpstr>Сентябрь</vt:lpstr>
      <vt:lpstr>Октябрь</vt:lpstr>
      <vt:lpstr>Ноябрь</vt:lpstr>
      <vt:lpstr>Январь </vt:lpstr>
      <vt:lpstr>Июнь</vt:lpstr>
      <vt:lpstr>Июль</vt:lpstr>
      <vt:lpstr>Сентябрь 2024</vt:lpstr>
      <vt:lpstr>Октябрь 2024</vt:lpstr>
      <vt:lpstr>Ноябрь 2024</vt:lpstr>
      <vt:lpstr>Декабрь 2024</vt:lpstr>
      <vt:lpstr>Февраль 2025</vt:lpstr>
      <vt:lpstr>Март 2025</vt:lpstr>
      <vt:lpstr>Апрель 2025</vt:lpstr>
      <vt:lpstr>Май 2025</vt:lpstr>
      <vt:lpstr>Июнь 2025</vt:lpstr>
      <vt:lpstr>Июль 2025</vt:lpstr>
      <vt:lpstr>Сентябрь 2025</vt:lpstr>
      <vt:lpstr>Октябрь 2025</vt:lpstr>
      <vt:lpstr>Ноябрь 2025</vt:lpstr>
      <vt:lpstr>Департамент</vt:lpstr>
      <vt:lpstr>'личный дневной (печатная форма)'!Область_печати</vt:lpstr>
      <vt:lpstr>'личный месяц (печатная форма)'!Область_печати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Юдаева Лилия Алексеевна</dc:creator>
  <cp:lastModifiedBy>Хабаров Денис Борисович</cp:lastModifiedBy>
  <cp:lastPrinted>2022-12-22T12:04:39Z</cp:lastPrinted>
  <dcterms:created xsi:type="dcterms:W3CDTF">2022-12-22T09:54:25Z</dcterms:created>
  <dcterms:modified xsi:type="dcterms:W3CDTF">2025-12-04T15:01:11Z</dcterms:modified>
</cp:coreProperties>
</file>