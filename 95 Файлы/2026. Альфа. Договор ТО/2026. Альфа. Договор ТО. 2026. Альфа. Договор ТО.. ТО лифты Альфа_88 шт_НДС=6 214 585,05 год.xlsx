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ВСЕ ОБЪЕКТЫ\ТО лифтов\ТО Лифтоа Альфа\"/>
    </mc:Choice>
  </mc:AlternateContent>
  <bookViews>
    <workbookView xWindow="0" yWindow="0" windowWidth="30504" windowHeight="11916"/>
  </bookViews>
  <sheets>
    <sheet name="ТО лифты Альфа_88 шт_НДС=6 214 " sheetId="1" r:id="rId1"/>
  </sheets>
  <definedNames>
    <definedName name="_xlnm.Print_Titles" localSheetId="0">'ТО лифты Альфа_88 шт_НДС=6 214 '!$25:$25</definedName>
    <definedName name="_xlnm.Print_Area" localSheetId="0">'ТО лифты Альфа_88 шт_НДС=6 214 '!$A:$M</definedName>
  </definedNames>
  <calcPr calcId="162913"/>
</workbook>
</file>

<file path=xl/calcChain.xml><?xml version="1.0" encoding="utf-8"?>
<calcChain xmlns="http://schemas.openxmlformats.org/spreadsheetml/2006/main">
  <c r="I44" i="1" l="1"/>
</calcChain>
</file>

<file path=xl/sharedStrings.xml><?xml version="1.0" encoding="utf-8"?>
<sst xmlns="http://schemas.openxmlformats.org/spreadsheetml/2006/main" count="134" uniqueCount="56">
  <si>
    <t>СОГЛАСОВАНО:</t>
  </si>
  <si>
    <t>УТВЕРЖДАЮ:</t>
  </si>
  <si>
    <t/>
  </si>
  <si>
    <t>"____" ________________ 2026 года</t>
  </si>
  <si>
    <t>(наименование стройки)</t>
  </si>
  <si>
    <t>ЛОКАЛЬНАЯ РЕСУРСНАЯ СМЕТА № 01</t>
  </si>
  <si>
    <t>(локальная смета)</t>
  </si>
  <si>
    <t>на Выполнение ежемесячного технического и аварийно-технических обслуживания, ГК «Альфа Сириус». Краснодарский край, федеральная территория Сириус, пгт Сириус</t>
  </si>
  <si>
    <t>(наименование работ и затрат, наименование объекта)</t>
  </si>
  <si>
    <t>Основание:</t>
  </si>
  <si>
    <t>Сметная стоимость</t>
  </si>
  <si>
    <t>тыс.руб.</t>
  </si>
  <si>
    <t xml:space="preserve">   строительных работ</t>
  </si>
  <si>
    <t>Средства на оплату труда</t>
  </si>
  <si>
    <t>Сметная трудоемкость</t>
  </si>
  <si>
    <t>чел.час</t>
  </si>
  <si>
    <t xml:space="preserve">Составлен в текущих ценах по состоянию на </t>
  </si>
  <si>
    <t>1 квартал 2026 года</t>
  </si>
  <si>
    <t>№ п/п</t>
  </si>
  <si>
    <t>Шифр и номер позиции норматива</t>
  </si>
  <si>
    <t>Наименование работ и затрат, единица измерения</t>
  </si>
  <si>
    <t>Кол-во</t>
  </si>
  <si>
    <t>Стоимость единицы, руб.</t>
  </si>
  <si>
    <t>Общая стоимость, руб.</t>
  </si>
  <si>
    <t>Затраты труда рабочих, чел.-ч, не занятых обслуживанием машин  / ТЗМ</t>
  </si>
  <si>
    <t>Всего</t>
  </si>
  <si>
    <t>эксплуатации машин</t>
  </si>
  <si>
    <t>оплаты труда</t>
  </si>
  <si>
    <t>в т.ч. оплаты труда</t>
  </si>
  <si>
    <t>на единицу</t>
  </si>
  <si>
    <t>всего</t>
  </si>
  <si>
    <t>Раздел 1. ТО лифтов -88 шт</t>
  </si>
  <si>
    <t>1</t>
  </si>
  <si>
    <t>14.5-105-1
Доп.12,16, Доп. 79</t>
  </si>
  <si>
    <t>Ежемесячное техническое обслуживание лифта
(1 лифт)</t>
  </si>
  <si>
    <t>27 235,54
27 123,84</t>
  </si>
  <si>
    <t>59,88
0</t>
  </si>
  <si>
    <t>5269,44
0</t>
  </si>
  <si>
    <t>за 12 месяцев (при ежемесячном обслуживании) ОЗП=12; ТЗ=12</t>
  </si>
  <si>
    <t>Накладные расходы 70% ФОТ (от 2 386 897,92)</t>
  </si>
  <si>
    <t>Сметная прибыль 43% ФОТ (от 2 386 897,92)</t>
  </si>
  <si>
    <t>Итого c накладными и см. прибылью</t>
  </si>
  <si>
    <t>Итого прямые затраты по смете в текущих ценах</t>
  </si>
  <si>
    <t>Накладные расходы</t>
  </si>
  <si>
    <t>Сметная прибыль</t>
  </si>
  <si>
    <t>Итоги по смете:</t>
  </si>
  <si>
    <t xml:space="preserve">     Итого Поз. 1 с учетом НР и СП</t>
  </si>
  <si>
    <t xml:space="preserve">          Справочно, в текущих ценах:</t>
  </si>
  <si>
    <t xml:space="preserve">            Материалы</t>
  </si>
  <si>
    <t xml:space="preserve">            ФОТ</t>
  </si>
  <si>
    <t xml:space="preserve">            Накладные расходы</t>
  </si>
  <si>
    <t xml:space="preserve">            Сметная прибыль</t>
  </si>
  <si>
    <t xml:space="preserve">     НДС 22%</t>
  </si>
  <si>
    <t xml:space="preserve">  ВСЕГО по смете</t>
  </si>
  <si>
    <t xml:space="preserve">  ВСЕГО по смете ежемесячно</t>
  </si>
  <si>
    <t>Ежемесячное техническое обслуживание лифта (1 лифт)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</si>
</sst>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sz val="1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sz val="9"/>
      <color rgb="FF000000"/>
      <name val="Arial"/>
      <charset val="204"/>
    </font>
    <font>
      <sz val="9"/>
      <name val="Arial"/>
      <charset val="204"/>
    </font>
    <font>
      <b/>
      <sz val="10"/>
      <color rgb="FF000000"/>
      <name val="Arial"/>
      <charset val="204"/>
    </font>
    <font>
      <b/>
      <sz val="8"/>
      <name val="Arial"/>
      <charset val="204"/>
    </font>
    <font>
      <i/>
      <sz val="8"/>
      <color rgb="FF00000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/>
    </xf>
    <xf numFmtId="49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right" vertical="top"/>
    </xf>
    <xf numFmtId="0" fontId="4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left" wrapText="1"/>
    </xf>
    <xf numFmtId="0" fontId="2" fillId="0" borderId="0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2" fillId="0" borderId="3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vertical="center" wrapText="1"/>
    </xf>
    <xf numFmtId="2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 vertical="top"/>
    </xf>
    <xf numFmtId="0" fontId="1" fillId="0" borderId="1" xfId="0" applyNumberFormat="1" applyFont="1" applyFill="1" applyBorder="1" applyAlignment="1" applyProtection="1"/>
    <xf numFmtId="2" fontId="2" fillId="0" borderId="0" xfId="0" applyNumberFormat="1" applyFont="1" applyFill="1" applyBorder="1" applyAlignment="1" applyProtection="1">
      <alignment horizontal="right"/>
    </xf>
    <xf numFmtId="2" fontId="2" fillId="0" borderId="3" xfId="0" applyNumberFormat="1" applyFont="1" applyFill="1" applyBorder="1" applyAlignment="1" applyProtection="1"/>
    <xf numFmtId="0" fontId="2" fillId="0" borderId="3" xfId="0" applyNumberFormat="1" applyFont="1" applyFill="1" applyBorder="1" applyAlignment="1" applyProtection="1">
      <alignment horizontal="left" vertical="top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49" fontId="8" fillId="0" borderId="4" xfId="0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49" fontId="3" fillId="0" borderId="4" xfId="0" applyNumberFormat="1" applyFont="1" applyFill="1" applyBorder="1" applyAlignment="1" applyProtection="1">
      <alignment horizontal="center" vertical="top" wrapText="1"/>
    </xf>
    <xf numFmtId="49" fontId="3" fillId="0" borderId="4" xfId="0" applyNumberFormat="1" applyFont="1" applyFill="1" applyBorder="1" applyAlignment="1" applyProtection="1">
      <alignment horizontal="left" vertical="top" wrapText="1"/>
    </xf>
    <xf numFmtId="1" fontId="3" fillId="0" borderId="4" xfId="0" applyNumberFormat="1" applyFont="1" applyFill="1" applyBorder="1" applyAlignment="1" applyProtection="1">
      <alignment horizontal="center" vertical="top" wrapText="1"/>
    </xf>
    <xf numFmtId="4" fontId="3" fillId="0" borderId="4" xfId="0" applyNumberFormat="1" applyFont="1" applyFill="1" applyBorder="1" applyAlignment="1" applyProtection="1">
      <alignment horizontal="right" vertical="top" wrapText="1"/>
    </xf>
    <xf numFmtId="0" fontId="3" fillId="0" borderId="4" xfId="0" applyNumberFormat="1" applyFont="1" applyFill="1" applyBorder="1" applyAlignment="1" applyProtection="1">
      <alignment horizontal="right" vertical="top" wrapText="1"/>
    </xf>
    <xf numFmtId="0" fontId="10" fillId="0" borderId="4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1" fillId="0" borderId="13" xfId="0" applyNumberFormat="1" applyFont="1" applyFill="1" applyBorder="1" applyAlignment="1" applyProtection="1">
      <alignment horizontal="center" vertical="top" wrapText="1"/>
    </xf>
    <xf numFmtId="49" fontId="1" fillId="0" borderId="13" xfId="0" applyNumberFormat="1" applyFont="1" applyFill="1" applyBorder="1" applyAlignment="1" applyProtection="1">
      <alignment vertical="top" wrapText="1"/>
    </xf>
    <xf numFmtId="49" fontId="1" fillId="0" borderId="3" xfId="0" applyNumberFormat="1" applyFont="1" applyFill="1" applyBorder="1" applyAlignment="1" applyProtection="1">
      <alignment vertical="top" wrapText="1"/>
    </xf>
    <xf numFmtId="49" fontId="1" fillId="0" borderId="3" xfId="0" applyNumberFormat="1" applyFont="1" applyFill="1" applyBorder="1" applyAlignment="1" applyProtection="1">
      <alignment horizontal="right" vertical="top"/>
    </xf>
    <xf numFmtId="0" fontId="1" fillId="0" borderId="3" xfId="0" applyNumberFormat="1" applyFont="1" applyFill="1" applyBorder="1" applyAlignment="1" applyProtection="1">
      <alignment horizontal="center" vertical="top" wrapText="1"/>
    </xf>
    <xf numFmtId="0" fontId="1" fillId="0" borderId="3" xfId="0" applyNumberFormat="1" applyFont="1" applyFill="1" applyBorder="1" applyAlignment="1" applyProtection="1">
      <alignment horizontal="center" vertical="top"/>
    </xf>
    <xf numFmtId="4" fontId="1" fillId="0" borderId="3" xfId="0" applyNumberFormat="1" applyFont="1" applyFill="1" applyBorder="1" applyAlignment="1" applyProtection="1">
      <alignment horizontal="right" vertical="top"/>
    </xf>
    <xf numFmtId="0" fontId="1" fillId="0" borderId="3" xfId="0" applyNumberFormat="1" applyFont="1" applyFill="1" applyBorder="1" applyAlignment="1" applyProtection="1">
      <alignment horizontal="right" vertical="top"/>
    </xf>
    <xf numFmtId="0" fontId="11" fillId="0" borderId="3" xfId="0" applyNumberFormat="1" applyFont="1" applyFill="1" applyBorder="1" applyAlignment="1" applyProtection="1">
      <alignment horizontal="left" vertical="top" wrapText="1"/>
    </xf>
    <xf numFmtId="0" fontId="11" fillId="0" borderId="6" xfId="0" applyNumberFormat="1" applyFont="1" applyFill="1" applyBorder="1" applyAlignment="1" applyProtection="1">
      <alignment horizontal="left" vertical="top" wrapText="1"/>
    </xf>
    <xf numFmtId="4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2" fontId="3" fillId="2" borderId="4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vertical="top" wrapText="1"/>
    </xf>
    <xf numFmtId="4" fontId="1" fillId="2" borderId="4" xfId="0" applyNumberFormat="1" applyFont="1" applyFill="1" applyBorder="1" applyAlignment="1" applyProtection="1">
      <alignment horizontal="right" vertical="top" wrapText="1"/>
    </xf>
    <xf numFmtId="0" fontId="1" fillId="2" borderId="4" xfId="0" applyNumberFormat="1" applyFont="1" applyFill="1" applyBorder="1" applyAlignment="1" applyProtection="1">
      <alignment horizontal="right" vertical="top" wrapText="1"/>
    </xf>
    <xf numFmtId="2" fontId="1" fillId="2" borderId="4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1" xfId="0" applyNumberFormat="1" applyFont="1" applyFill="1" applyBorder="1" applyAlignment="1" applyProtection="1">
      <alignment horizontal="right" vertical="top" wrapText="1"/>
    </xf>
    <xf numFmtId="0" fontId="4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left" wrapText="1"/>
    </xf>
    <xf numFmtId="0" fontId="2" fillId="0" borderId="0" xfId="0" applyNumberFormat="1" applyFont="1" applyFill="1" applyBorder="1" applyAlignment="1" applyProtection="1">
      <alignment horizontal="left" wrapText="1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49" fontId="7" fillId="0" borderId="5" xfId="0" applyNumberFormat="1" applyFont="1" applyFill="1" applyBorder="1" applyAlignment="1" applyProtection="1">
      <alignment horizontal="center" vertical="center" wrapText="1"/>
    </xf>
    <xf numFmtId="49" fontId="7" fillId="0" borderId="6" xfId="0" applyNumberFormat="1" applyFont="1" applyFill="1" applyBorder="1" applyAlignment="1" applyProtection="1">
      <alignment horizontal="center" vertical="center" wrapText="1"/>
    </xf>
    <xf numFmtId="49" fontId="7" fillId="0" borderId="3" xfId="0" applyNumberFormat="1" applyFont="1" applyFill="1" applyBorder="1" applyAlignment="1" applyProtection="1">
      <alignment horizontal="center" vertical="center" wrapText="1"/>
    </xf>
    <xf numFmtId="49" fontId="7" fillId="0" borderId="7" xfId="0" applyNumberFormat="1" applyFont="1" applyFill="1" applyBorder="1" applyAlignment="1" applyProtection="1">
      <alignment horizontal="center" vertical="center" wrapText="1"/>
    </xf>
    <xf numFmtId="49" fontId="7" fillId="0" borderId="8" xfId="0" applyNumberFormat="1" applyFont="1" applyFill="1" applyBorder="1" applyAlignment="1" applyProtection="1">
      <alignment horizontal="center" vertical="center" wrapText="1"/>
    </xf>
    <xf numFmtId="49" fontId="7" fillId="0" borderId="10" xfId="0" applyNumberFormat="1" applyFont="1" applyFill="1" applyBorder="1" applyAlignment="1" applyProtection="1">
      <alignment horizontal="center" vertical="center" wrapText="1"/>
    </xf>
    <xf numFmtId="49" fontId="7" fillId="0" borderId="11" xfId="0" applyNumberFormat="1" applyFont="1" applyFill="1" applyBorder="1" applyAlignment="1" applyProtection="1">
      <alignment horizontal="center" vertical="center" wrapText="1"/>
    </xf>
    <xf numFmtId="49" fontId="7" fillId="0" borderId="9" xfId="0" applyNumberFormat="1" applyFont="1" applyFill="1" applyBorder="1" applyAlignment="1" applyProtection="1">
      <alignment horizontal="center" vertical="center" wrapText="1"/>
    </xf>
    <xf numFmtId="49" fontId="7" fillId="0" borderId="12" xfId="0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horizontal="left" vertical="center" wrapText="1"/>
    </xf>
    <xf numFmtId="0" fontId="9" fillId="0" borderId="3" xfId="0" applyNumberFormat="1" applyFont="1" applyFill="1" applyBorder="1" applyAlignment="1" applyProtection="1">
      <alignment horizontal="left" vertical="center" wrapText="1"/>
    </xf>
    <xf numFmtId="0" fontId="9" fillId="0" borderId="6" xfId="0" applyNumberFormat="1" applyFont="1" applyFill="1" applyBorder="1" applyAlignment="1" applyProtection="1">
      <alignment horizontal="left" vertical="center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0" fontId="1" fillId="0" borderId="3" xfId="0" applyNumberFormat="1" applyFont="1" applyFill="1" applyBorder="1" applyAlignment="1" applyProtection="1">
      <alignment horizontal="left" vertical="top" wrapText="1"/>
    </xf>
    <xf numFmtId="0" fontId="1" fillId="0" borderId="6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vertical="top" wrapText="1"/>
    </xf>
    <xf numFmtId="49" fontId="3" fillId="2" borderId="3" xfId="0" applyNumberFormat="1" applyFont="1" applyFill="1" applyBorder="1" applyAlignment="1" applyProtection="1">
      <alignment vertical="top" wrapText="1"/>
    </xf>
    <xf numFmtId="49" fontId="3" fillId="2" borderId="6" xfId="0" applyNumberFormat="1" applyFont="1" applyFill="1" applyBorder="1" applyAlignment="1" applyProtection="1">
      <alignment vertical="top" wrapText="1"/>
    </xf>
    <xf numFmtId="49" fontId="1" fillId="2" borderId="5" xfId="0" applyNumberFormat="1" applyFont="1" applyFill="1" applyBorder="1" applyAlignment="1" applyProtection="1">
      <alignment vertical="top" wrapText="1"/>
    </xf>
    <xf numFmtId="49" fontId="1" fillId="2" borderId="3" xfId="0" applyNumberFormat="1" applyFont="1" applyFill="1" applyBorder="1" applyAlignment="1" applyProtection="1">
      <alignment vertical="top" wrapText="1"/>
    </xf>
    <xf numFmtId="49" fontId="1" fillId="2" borderId="6" xfId="0" applyNumberFormat="1" applyFont="1" applyFill="1" applyBorder="1" applyAlignment="1" applyProtection="1">
      <alignment vertical="top" wrapText="1"/>
    </xf>
    <xf numFmtId="49" fontId="5" fillId="0" borderId="0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C46"/>
  <sheetViews>
    <sheetView tabSelected="1" workbookViewId="0">
      <selection activeCell="A36" sqref="A36:H36"/>
    </sheetView>
  </sheetViews>
  <sheetFormatPr defaultColWidth="9.109375" defaultRowHeight="11.25" customHeight="1" x14ac:dyDescent="0.2"/>
  <cols>
    <col min="1" max="1" width="9" style="1" customWidth="1"/>
    <col min="2" max="2" width="20.109375" style="1" customWidth="1"/>
    <col min="3" max="3" width="11.33203125" style="1" customWidth="1"/>
    <col min="4" max="4" width="10.44140625" style="1" customWidth="1"/>
    <col min="5" max="5" width="13.33203125" style="1" customWidth="1"/>
    <col min="6" max="6" width="11.6640625" style="1" customWidth="1"/>
    <col min="7" max="7" width="12.109375" style="1" customWidth="1"/>
    <col min="8" max="8" width="11.6640625" style="1" customWidth="1"/>
    <col min="9" max="9" width="13" style="1" customWidth="1"/>
    <col min="10" max="12" width="11.6640625" style="1" customWidth="1"/>
    <col min="13" max="13" width="12.109375" style="1" customWidth="1"/>
    <col min="14" max="14" width="11.109375" style="1" customWidth="1"/>
    <col min="15" max="16" width="9.109375" style="1"/>
    <col min="17" max="17" width="8.44140625" style="1" customWidth="1"/>
    <col min="18" max="18" width="8.6640625" style="1" customWidth="1"/>
    <col min="19" max="22" width="50.88671875" style="2" hidden="1" customWidth="1"/>
    <col min="23" max="26" width="47.33203125" style="2" hidden="1" customWidth="1"/>
    <col min="27" max="30" width="50.88671875" style="3" hidden="1" customWidth="1"/>
    <col min="31" max="34" width="47.33203125" style="3" hidden="1" customWidth="1"/>
    <col min="35" max="60" width="160" style="4" hidden="1" customWidth="1"/>
    <col min="61" max="65" width="58.88671875" style="5" hidden="1" customWidth="1"/>
    <col min="66" max="75" width="119.5546875" style="5" hidden="1" customWidth="1"/>
    <col min="76" max="76" width="160" style="6" hidden="1" customWidth="1"/>
    <col min="77" max="77" width="35" style="2" hidden="1" customWidth="1"/>
    <col min="78" max="78" width="130.88671875" style="2" hidden="1" customWidth="1"/>
    <col min="79" max="81" width="99.6640625" style="7" hidden="1" customWidth="1"/>
    <col min="82" max="16384" width="9.109375" style="1"/>
  </cols>
  <sheetData>
    <row r="1" spans="1:65" customFormat="1" ht="14.4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pans="1:65" customFormat="1" ht="11.25" customHeight="1" x14ac:dyDescent="0.3">
      <c r="A2" s="61" t="s">
        <v>0</v>
      </c>
      <c r="B2" s="61"/>
      <c r="C2" s="61"/>
      <c r="D2" s="10"/>
      <c r="E2" s="8"/>
      <c r="F2" s="8"/>
      <c r="G2" s="8"/>
      <c r="H2" s="8"/>
      <c r="I2" s="8"/>
      <c r="J2" s="61" t="s">
        <v>1</v>
      </c>
      <c r="K2" s="61"/>
      <c r="L2" s="61"/>
      <c r="M2" s="61"/>
    </row>
    <row r="3" spans="1:65" customFormat="1" ht="12" customHeight="1" x14ac:dyDescent="0.3">
      <c r="A3" s="62"/>
      <c r="B3" s="62"/>
      <c r="C3" s="62"/>
      <c r="D3" s="62"/>
      <c r="E3" s="8"/>
      <c r="F3" s="8"/>
      <c r="G3" s="8"/>
      <c r="H3" s="8"/>
      <c r="I3" s="8"/>
      <c r="J3" s="63"/>
      <c r="K3" s="63"/>
      <c r="L3" s="63"/>
      <c r="M3" s="63"/>
    </row>
    <row r="4" spans="1:65" customFormat="1" ht="14.4" x14ac:dyDescent="0.3">
      <c r="A4" s="63"/>
      <c r="B4" s="63"/>
      <c r="C4" s="63"/>
      <c r="D4" s="63"/>
      <c r="E4" s="8"/>
      <c r="F4" s="8"/>
      <c r="G4" s="8"/>
      <c r="H4" s="8"/>
      <c r="I4" s="8"/>
      <c r="J4" s="63"/>
      <c r="K4" s="63"/>
      <c r="L4" s="63"/>
      <c r="M4" s="63"/>
      <c r="S4" s="2" t="s">
        <v>2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  <c r="Z4" s="2" t="s">
        <v>2</v>
      </c>
    </row>
    <row r="5" spans="1:65" customFormat="1" ht="14.4" x14ac:dyDescent="0.3">
      <c r="A5" s="64"/>
      <c r="B5" s="64"/>
      <c r="C5" s="64"/>
      <c r="D5" s="64"/>
      <c r="E5" s="8"/>
      <c r="F5" s="8"/>
      <c r="G5" s="8"/>
      <c r="H5" s="8"/>
      <c r="I5" s="12"/>
      <c r="J5" s="64"/>
      <c r="K5" s="64"/>
      <c r="L5" s="64"/>
      <c r="M5" s="64"/>
      <c r="AA5" s="3" t="s">
        <v>2</v>
      </c>
      <c r="AB5" s="3" t="s">
        <v>2</v>
      </c>
      <c r="AC5" s="3" t="s">
        <v>2</v>
      </c>
      <c r="AD5" s="3" t="s">
        <v>2</v>
      </c>
      <c r="AE5" s="3" t="s">
        <v>2</v>
      </c>
      <c r="AF5" s="3" t="s">
        <v>2</v>
      </c>
      <c r="AG5" s="3" t="s">
        <v>2</v>
      </c>
      <c r="AH5" s="3" t="s">
        <v>2</v>
      </c>
    </row>
    <row r="6" spans="1:65" customFormat="1" ht="11.25" customHeight="1" x14ac:dyDescent="0.3">
      <c r="A6" s="12" t="s">
        <v>3</v>
      </c>
      <c r="B6" s="13"/>
      <c r="C6" s="13"/>
      <c r="D6" s="13"/>
      <c r="E6" s="8"/>
      <c r="F6" s="8"/>
      <c r="G6" s="8"/>
      <c r="H6" s="8"/>
      <c r="I6" s="12"/>
      <c r="J6" s="12"/>
      <c r="K6" s="13"/>
      <c r="L6" s="13"/>
      <c r="M6" s="14" t="s">
        <v>3</v>
      </c>
    </row>
    <row r="7" spans="1:65" customFormat="1" ht="11.25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9"/>
    </row>
    <row r="8" spans="1:65" customFormat="1" ht="14.4" x14ac:dyDescent="0.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AI8" s="15" t="s">
        <v>2</v>
      </c>
      <c r="AJ8" s="15" t="s">
        <v>2</v>
      </c>
      <c r="AK8" s="15" t="s">
        <v>2</v>
      </c>
      <c r="AL8" s="15" t="s">
        <v>2</v>
      </c>
      <c r="AM8" s="15" t="s">
        <v>2</v>
      </c>
      <c r="AN8" s="15" t="s">
        <v>2</v>
      </c>
      <c r="AO8" s="15" t="s">
        <v>2</v>
      </c>
      <c r="AP8" s="15" t="s">
        <v>2</v>
      </c>
      <c r="AQ8" s="15" t="s">
        <v>2</v>
      </c>
      <c r="AR8" s="15" t="s">
        <v>2</v>
      </c>
      <c r="AS8" s="15" t="s">
        <v>2</v>
      </c>
      <c r="AT8" s="15" t="s">
        <v>2</v>
      </c>
      <c r="AU8" s="15" t="s">
        <v>2</v>
      </c>
    </row>
    <row r="9" spans="1:65" customFormat="1" ht="14.4" x14ac:dyDescent="0.3">
      <c r="A9" s="66" t="s">
        <v>4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</row>
    <row r="10" spans="1:65" customFormat="1" ht="14.4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65" customFormat="1" ht="28.5" customHeight="1" x14ac:dyDescent="0.3">
      <c r="A11" s="67" t="s">
        <v>5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</row>
    <row r="12" spans="1:65" customFormat="1" ht="21" customHeight="1" x14ac:dyDescent="0.3">
      <c r="A12" s="66" t="s">
        <v>6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</row>
    <row r="13" spans="1:65" customFormat="1" ht="14.4" x14ac:dyDescent="0.3">
      <c r="A13" s="65" t="s">
        <v>7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AV13" s="15" t="s">
        <v>7</v>
      </c>
      <c r="AW13" s="15" t="s">
        <v>2</v>
      </c>
      <c r="AX13" s="15" t="s">
        <v>2</v>
      </c>
      <c r="AY13" s="15" t="s">
        <v>2</v>
      </c>
      <c r="AZ13" s="15" t="s">
        <v>2</v>
      </c>
      <c r="BA13" s="15" t="s">
        <v>2</v>
      </c>
      <c r="BB13" s="15" t="s">
        <v>2</v>
      </c>
      <c r="BC13" s="15" t="s">
        <v>2</v>
      </c>
      <c r="BD13" s="15" t="s">
        <v>2</v>
      </c>
      <c r="BE13" s="15" t="s">
        <v>2</v>
      </c>
      <c r="BF13" s="15" t="s">
        <v>2</v>
      </c>
      <c r="BG13" s="15" t="s">
        <v>2</v>
      </c>
      <c r="BH13" s="15" t="s">
        <v>2</v>
      </c>
    </row>
    <row r="14" spans="1:65" customFormat="1" ht="15.75" customHeight="1" x14ac:dyDescent="0.3">
      <c r="A14" s="66" t="s">
        <v>8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</row>
    <row r="15" spans="1:65" customFormat="1" ht="14.4" x14ac:dyDescent="0.3">
      <c r="A15" s="8"/>
      <c r="B15" s="17" t="s">
        <v>9</v>
      </c>
      <c r="C15" s="68"/>
      <c r="D15" s="68"/>
      <c r="E15" s="68"/>
      <c r="F15" s="68"/>
      <c r="G15" s="68"/>
      <c r="H15" s="18"/>
      <c r="I15" s="18"/>
      <c r="J15" s="18"/>
      <c r="K15" s="18"/>
      <c r="L15" s="18"/>
      <c r="M15" s="18"/>
      <c r="N15" s="19"/>
      <c r="O15" s="19"/>
      <c r="BI15" s="20" t="s">
        <v>2</v>
      </c>
      <c r="BJ15" s="20" t="s">
        <v>2</v>
      </c>
      <c r="BK15" s="20" t="s">
        <v>2</v>
      </c>
      <c r="BL15" s="20" t="s">
        <v>2</v>
      </c>
      <c r="BM15" s="20" t="s">
        <v>2</v>
      </c>
    </row>
    <row r="16" spans="1:65" customFormat="1" ht="12.75" customHeight="1" x14ac:dyDescent="0.3">
      <c r="B16" s="21" t="s">
        <v>10</v>
      </c>
      <c r="C16" s="21"/>
      <c r="D16" s="22"/>
      <c r="E16" s="23">
        <v>6214.585</v>
      </c>
      <c r="F16" s="24" t="s">
        <v>11</v>
      </c>
      <c r="H16" s="21"/>
      <c r="I16" s="21"/>
      <c r="J16" s="21"/>
      <c r="K16" s="21"/>
      <c r="L16" s="21"/>
      <c r="M16" s="25"/>
      <c r="N16" s="25"/>
      <c r="O16" s="21"/>
    </row>
    <row r="17" spans="1:79" customFormat="1" ht="12.75" customHeight="1" x14ac:dyDescent="0.3">
      <c r="B17" s="21" t="s">
        <v>12</v>
      </c>
      <c r="D17" s="22"/>
      <c r="E17" s="23">
        <v>5093.9219999999996</v>
      </c>
      <c r="F17" s="24" t="s">
        <v>11</v>
      </c>
      <c r="H17" s="21"/>
      <c r="I17" s="21"/>
      <c r="J17" s="21"/>
      <c r="K17" s="21"/>
      <c r="L17" s="21"/>
      <c r="M17" s="25"/>
      <c r="N17" s="25"/>
      <c r="O17" s="21"/>
    </row>
    <row r="18" spans="1:79" customFormat="1" ht="12.75" customHeight="1" x14ac:dyDescent="0.3">
      <c r="B18" s="21" t="s">
        <v>13</v>
      </c>
      <c r="C18" s="21"/>
      <c r="D18" s="22"/>
      <c r="E18" s="23">
        <v>2386.8980000000001</v>
      </c>
      <c r="F18" s="24" t="s">
        <v>11</v>
      </c>
      <c r="H18" s="21"/>
      <c r="J18" s="21"/>
      <c r="K18" s="21"/>
      <c r="L18" s="21"/>
      <c r="M18" s="26"/>
      <c r="N18" s="27"/>
      <c r="O18" s="28"/>
    </row>
    <row r="19" spans="1:79" customFormat="1" ht="12.75" customHeight="1" x14ac:dyDescent="0.3">
      <c r="B19" s="21" t="s">
        <v>14</v>
      </c>
      <c r="C19" s="21"/>
      <c r="D19" s="29"/>
      <c r="E19" s="23">
        <v>5269.44</v>
      </c>
      <c r="F19" s="24" t="s">
        <v>15</v>
      </c>
      <c r="H19" s="21"/>
      <c r="J19" s="21"/>
      <c r="K19" s="21"/>
      <c r="L19" s="21"/>
      <c r="M19" s="30"/>
      <c r="N19" s="30"/>
      <c r="O19" s="24"/>
    </row>
    <row r="20" spans="1:79" customFormat="1" ht="14.4" x14ac:dyDescent="0.3">
      <c r="B20" s="21" t="s">
        <v>16</v>
      </c>
      <c r="C20" s="21"/>
      <c r="D20" s="69" t="s">
        <v>17</v>
      </c>
      <c r="E20" s="69"/>
      <c r="F20" s="69"/>
      <c r="G20" s="69"/>
      <c r="H20" s="69"/>
      <c r="I20" s="69"/>
      <c r="J20" s="69"/>
      <c r="K20" s="69"/>
      <c r="L20" s="69"/>
      <c r="M20" s="69"/>
      <c r="N20" s="30"/>
      <c r="O20" s="24"/>
      <c r="BN20" s="20" t="s">
        <v>17</v>
      </c>
      <c r="BO20" s="20" t="s">
        <v>2</v>
      </c>
      <c r="BP20" s="20" t="s">
        <v>2</v>
      </c>
      <c r="BQ20" s="20" t="s">
        <v>2</v>
      </c>
      <c r="BR20" s="20" t="s">
        <v>2</v>
      </c>
      <c r="BS20" s="20" t="s">
        <v>2</v>
      </c>
      <c r="BT20" s="20" t="s">
        <v>2</v>
      </c>
      <c r="BU20" s="20" t="s">
        <v>2</v>
      </c>
      <c r="BV20" s="20" t="s">
        <v>2</v>
      </c>
      <c r="BW20" s="20" t="s">
        <v>2</v>
      </c>
    </row>
    <row r="21" spans="1:79" customFormat="1" ht="12.75" customHeight="1" x14ac:dyDescent="0.3">
      <c r="A21" s="21"/>
      <c r="B21" s="21"/>
      <c r="D21" s="31"/>
      <c r="E21" s="32"/>
      <c r="G21" s="21"/>
      <c r="H21" s="21"/>
      <c r="I21" s="21"/>
      <c r="J21" s="21"/>
      <c r="K21" s="21"/>
      <c r="L21" s="21"/>
      <c r="M21" s="21"/>
      <c r="N21" s="21"/>
    </row>
    <row r="22" spans="1:79" customFormat="1" ht="36" customHeight="1" x14ac:dyDescent="0.3">
      <c r="A22" s="70" t="s">
        <v>18</v>
      </c>
      <c r="B22" s="70" t="s">
        <v>19</v>
      </c>
      <c r="C22" s="70" t="s">
        <v>20</v>
      </c>
      <c r="D22" s="70"/>
      <c r="E22" s="70"/>
      <c r="F22" s="70" t="s">
        <v>21</v>
      </c>
      <c r="G22" s="71" t="s">
        <v>22</v>
      </c>
      <c r="H22" s="72"/>
      <c r="I22" s="71" t="s">
        <v>23</v>
      </c>
      <c r="J22" s="73"/>
      <c r="K22" s="72"/>
      <c r="L22" s="74" t="s">
        <v>24</v>
      </c>
      <c r="M22" s="75"/>
    </row>
    <row r="23" spans="1:79" customFormat="1" ht="46.5" customHeight="1" x14ac:dyDescent="0.3">
      <c r="A23" s="70"/>
      <c r="B23" s="70"/>
      <c r="C23" s="70"/>
      <c r="D23" s="70"/>
      <c r="E23" s="70"/>
      <c r="F23" s="70"/>
      <c r="G23" s="33" t="s">
        <v>25</v>
      </c>
      <c r="H23" s="33" t="s">
        <v>26</v>
      </c>
      <c r="I23" s="70" t="s">
        <v>25</v>
      </c>
      <c r="J23" s="78" t="s">
        <v>27</v>
      </c>
      <c r="K23" s="33" t="s">
        <v>26</v>
      </c>
      <c r="L23" s="76"/>
      <c r="M23" s="77"/>
    </row>
    <row r="24" spans="1:79" customFormat="1" ht="22.8" x14ac:dyDescent="0.3">
      <c r="A24" s="70"/>
      <c r="B24" s="70"/>
      <c r="C24" s="70"/>
      <c r="D24" s="70"/>
      <c r="E24" s="70"/>
      <c r="F24" s="70"/>
      <c r="G24" s="33" t="s">
        <v>27</v>
      </c>
      <c r="H24" s="34" t="s">
        <v>28</v>
      </c>
      <c r="I24" s="70"/>
      <c r="J24" s="79"/>
      <c r="K24" s="34" t="s">
        <v>28</v>
      </c>
      <c r="L24" s="33" t="s">
        <v>29</v>
      </c>
      <c r="M24" s="33" t="s">
        <v>30</v>
      </c>
    </row>
    <row r="25" spans="1:79" customFormat="1" ht="14.4" x14ac:dyDescent="0.3">
      <c r="A25" s="35">
        <v>1</v>
      </c>
      <c r="B25" s="35">
        <v>2</v>
      </c>
      <c r="C25" s="80">
        <v>3</v>
      </c>
      <c r="D25" s="80"/>
      <c r="E25" s="80"/>
      <c r="F25" s="35">
        <v>4</v>
      </c>
      <c r="G25" s="35">
        <v>5</v>
      </c>
      <c r="H25" s="35">
        <v>6</v>
      </c>
      <c r="I25" s="35">
        <v>7</v>
      </c>
      <c r="J25" s="35">
        <v>8</v>
      </c>
      <c r="K25" s="35">
        <v>9</v>
      </c>
      <c r="L25" s="35">
        <v>10</v>
      </c>
      <c r="M25" s="35">
        <v>11</v>
      </c>
    </row>
    <row r="26" spans="1:79" customFormat="1" ht="14.4" x14ac:dyDescent="0.3">
      <c r="A26" s="81" t="s">
        <v>31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3"/>
      <c r="BX26" s="36" t="s">
        <v>31</v>
      </c>
    </row>
    <row r="27" spans="1:79" customFormat="1" ht="30.6" x14ac:dyDescent="0.3">
      <c r="A27" s="37" t="s">
        <v>32</v>
      </c>
      <c r="B27" s="38" t="s">
        <v>33</v>
      </c>
      <c r="C27" s="84" t="s">
        <v>55</v>
      </c>
      <c r="D27" s="84"/>
      <c r="E27" s="84"/>
      <c r="F27" s="39">
        <v>88</v>
      </c>
      <c r="G27" s="40" t="s">
        <v>35</v>
      </c>
      <c r="H27" s="41"/>
      <c r="I27" s="40">
        <v>2396727.52</v>
      </c>
      <c r="J27" s="40">
        <v>2386897.9199999999</v>
      </c>
      <c r="K27" s="42"/>
      <c r="L27" s="41" t="s">
        <v>36</v>
      </c>
      <c r="M27" s="41" t="s">
        <v>37</v>
      </c>
      <c r="BX27" s="36"/>
      <c r="BY27" s="43" t="s">
        <v>34</v>
      </c>
    </row>
    <row r="28" spans="1:79" customFormat="1" ht="14.4" x14ac:dyDescent="0.3">
      <c r="A28" s="44"/>
      <c r="B28" s="11"/>
      <c r="C28" s="85" t="s">
        <v>38</v>
      </c>
      <c r="D28" s="85"/>
      <c r="E28" s="85"/>
      <c r="F28" s="85"/>
      <c r="G28" s="85"/>
      <c r="H28" s="85"/>
      <c r="I28" s="85"/>
      <c r="J28" s="85"/>
      <c r="K28" s="85"/>
      <c r="L28" s="85"/>
      <c r="M28" s="86"/>
      <c r="BX28" s="36"/>
      <c r="BY28" s="43"/>
      <c r="BZ28" s="2" t="s">
        <v>38</v>
      </c>
    </row>
    <row r="29" spans="1:79" customFormat="1" ht="14.4" x14ac:dyDescent="0.3">
      <c r="A29" s="45"/>
      <c r="B29" s="46"/>
      <c r="C29" s="46"/>
      <c r="D29" s="46"/>
      <c r="E29" s="47" t="s">
        <v>39</v>
      </c>
      <c r="F29" s="48"/>
      <c r="G29" s="49"/>
      <c r="H29" s="22"/>
      <c r="I29" s="50">
        <v>1670828.54</v>
      </c>
      <c r="J29" s="51"/>
      <c r="K29" s="51"/>
      <c r="L29" s="52"/>
      <c r="M29" s="53"/>
      <c r="BX29" s="36"/>
      <c r="BY29" s="43"/>
    </row>
    <row r="30" spans="1:79" customFormat="1" ht="14.4" x14ac:dyDescent="0.3">
      <c r="A30" s="45"/>
      <c r="B30" s="46"/>
      <c r="C30" s="46"/>
      <c r="D30" s="46"/>
      <c r="E30" s="47" t="s">
        <v>40</v>
      </c>
      <c r="F30" s="48"/>
      <c r="G30" s="49"/>
      <c r="H30" s="22"/>
      <c r="I30" s="50">
        <v>1026366.11</v>
      </c>
      <c r="J30" s="51"/>
      <c r="K30" s="51"/>
      <c r="L30" s="52"/>
      <c r="M30" s="53"/>
      <c r="BX30" s="36"/>
      <c r="BY30" s="43"/>
    </row>
    <row r="31" spans="1:79" customFormat="1" ht="14.4" x14ac:dyDescent="0.3">
      <c r="A31" s="45"/>
      <c r="B31" s="46"/>
      <c r="C31" s="46"/>
      <c r="D31" s="46"/>
      <c r="E31" s="47" t="s">
        <v>41</v>
      </c>
      <c r="F31" s="48"/>
      <c r="G31" s="49"/>
      <c r="H31" s="22"/>
      <c r="I31" s="50">
        <v>5093922.17</v>
      </c>
      <c r="J31" s="51"/>
      <c r="K31" s="51"/>
      <c r="L31" s="52"/>
      <c r="M31" s="53"/>
      <c r="BX31" s="36"/>
      <c r="BY31" s="43"/>
    </row>
    <row r="32" spans="1:79" customFormat="1" ht="14.4" x14ac:dyDescent="0.3">
      <c r="A32" s="87" t="s">
        <v>42</v>
      </c>
      <c r="B32" s="88"/>
      <c r="C32" s="88"/>
      <c r="D32" s="88"/>
      <c r="E32" s="88"/>
      <c r="F32" s="88"/>
      <c r="G32" s="88"/>
      <c r="H32" s="89"/>
      <c r="I32" s="54">
        <v>2396727.52</v>
      </c>
      <c r="J32" s="54">
        <v>2386897.9199999999</v>
      </c>
      <c r="K32" s="55"/>
      <c r="L32" s="55"/>
      <c r="M32" s="56">
        <v>5269.44</v>
      </c>
      <c r="CA32" s="57" t="s">
        <v>42</v>
      </c>
    </row>
    <row r="33" spans="1:81" customFormat="1" ht="14.4" x14ac:dyDescent="0.3">
      <c r="A33" s="87" t="s">
        <v>43</v>
      </c>
      <c r="B33" s="88"/>
      <c r="C33" s="88"/>
      <c r="D33" s="88"/>
      <c r="E33" s="88"/>
      <c r="F33" s="88"/>
      <c r="G33" s="88"/>
      <c r="H33" s="89"/>
      <c r="I33" s="54">
        <v>1670828.54</v>
      </c>
      <c r="J33" s="55"/>
      <c r="K33" s="55"/>
      <c r="L33" s="55"/>
      <c r="M33" s="55"/>
      <c r="CA33" s="57" t="s">
        <v>43</v>
      </c>
    </row>
    <row r="34" spans="1:81" customFormat="1" ht="14.4" x14ac:dyDescent="0.3">
      <c r="A34" s="87" t="s">
        <v>44</v>
      </c>
      <c r="B34" s="88"/>
      <c r="C34" s="88"/>
      <c r="D34" s="88"/>
      <c r="E34" s="88"/>
      <c r="F34" s="88"/>
      <c r="G34" s="88"/>
      <c r="H34" s="89"/>
      <c r="I34" s="54">
        <v>1026366.11</v>
      </c>
      <c r="J34" s="55"/>
      <c r="K34" s="55"/>
      <c r="L34" s="55"/>
      <c r="M34" s="55"/>
      <c r="CA34" s="57" t="s">
        <v>44</v>
      </c>
    </row>
    <row r="35" spans="1:81" customFormat="1" ht="14.4" x14ac:dyDescent="0.3">
      <c r="A35" s="87" t="s">
        <v>45</v>
      </c>
      <c r="B35" s="88"/>
      <c r="C35" s="88"/>
      <c r="D35" s="88"/>
      <c r="E35" s="88"/>
      <c r="F35" s="88"/>
      <c r="G35" s="88"/>
      <c r="H35" s="89"/>
      <c r="I35" s="55"/>
      <c r="J35" s="55"/>
      <c r="K35" s="55"/>
      <c r="L35" s="55"/>
      <c r="M35" s="55"/>
      <c r="CA35" s="57" t="s">
        <v>45</v>
      </c>
    </row>
    <row r="36" spans="1:81" customFormat="1" ht="14.4" x14ac:dyDescent="0.3">
      <c r="A36" s="90" t="s">
        <v>46</v>
      </c>
      <c r="B36" s="91"/>
      <c r="C36" s="91"/>
      <c r="D36" s="91"/>
      <c r="E36" s="91"/>
      <c r="F36" s="91"/>
      <c r="G36" s="91"/>
      <c r="H36" s="92"/>
      <c r="I36" s="58">
        <v>5093922.17</v>
      </c>
      <c r="J36" s="59"/>
      <c r="K36" s="59"/>
      <c r="L36" s="55"/>
      <c r="M36" s="60">
        <v>5269.44</v>
      </c>
      <c r="CA36" s="57"/>
      <c r="CB36" s="7" t="s">
        <v>46</v>
      </c>
    </row>
    <row r="37" spans="1:81" customFormat="1" ht="14.4" x14ac:dyDescent="0.3">
      <c r="A37" s="90" t="s">
        <v>47</v>
      </c>
      <c r="B37" s="91"/>
      <c r="C37" s="91"/>
      <c r="D37" s="91"/>
      <c r="E37" s="91"/>
      <c r="F37" s="91"/>
      <c r="G37" s="91"/>
      <c r="H37" s="92"/>
      <c r="I37" s="59"/>
      <c r="J37" s="59"/>
      <c r="K37" s="59"/>
      <c r="L37" s="55"/>
      <c r="M37" s="59"/>
      <c r="CA37" s="57"/>
      <c r="CB37" s="7" t="s">
        <v>47</v>
      </c>
    </row>
    <row r="38" spans="1:81" customFormat="1" ht="14.4" x14ac:dyDescent="0.3">
      <c r="A38" s="90" t="s">
        <v>48</v>
      </c>
      <c r="B38" s="91"/>
      <c r="C38" s="91"/>
      <c r="D38" s="91"/>
      <c r="E38" s="91"/>
      <c r="F38" s="91"/>
      <c r="G38" s="91"/>
      <c r="H38" s="92"/>
      <c r="I38" s="58">
        <v>9829.6</v>
      </c>
      <c r="J38" s="59"/>
      <c r="K38" s="59"/>
      <c r="L38" s="55"/>
      <c r="M38" s="59"/>
      <c r="CA38" s="57"/>
      <c r="CB38" s="7" t="s">
        <v>48</v>
      </c>
    </row>
    <row r="39" spans="1:81" customFormat="1" ht="14.4" x14ac:dyDescent="0.3">
      <c r="A39" s="90" t="s">
        <v>49</v>
      </c>
      <c r="B39" s="91"/>
      <c r="C39" s="91"/>
      <c r="D39" s="91"/>
      <c r="E39" s="91"/>
      <c r="F39" s="91"/>
      <c r="G39" s="91"/>
      <c r="H39" s="92"/>
      <c r="I39" s="58">
        <v>2386897.9199999999</v>
      </c>
      <c r="J39" s="59"/>
      <c r="K39" s="59"/>
      <c r="L39" s="55"/>
      <c r="M39" s="59"/>
      <c r="CA39" s="57"/>
      <c r="CB39" s="7" t="s">
        <v>49</v>
      </c>
    </row>
    <row r="40" spans="1:81" customFormat="1" ht="14.4" x14ac:dyDescent="0.3">
      <c r="A40" s="90" t="s">
        <v>50</v>
      </c>
      <c r="B40" s="91"/>
      <c r="C40" s="91"/>
      <c r="D40" s="91"/>
      <c r="E40" s="91"/>
      <c r="F40" s="91"/>
      <c r="G40" s="91"/>
      <c r="H40" s="92"/>
      <c r="I40" s="58">
        <v>1670828.54</v>
      </c>
      <c r="J40" s="59"/>
      <c r="K40" s="59"/>
      <c r="L40" s="55"/>
      <c r="M40" s="59"/>
      <c r="CA40" s="57"/>
      <c r="CB40" s="7" t="s">
        <v>50</v>
      </c>
    </row>
    <row r="41" spans="1:81" customFormat="1" ht="14.4" x14ac:dyDescent="0.3">
      <c r="A41" s="90" t="s">
        <v>51</v>
      </c>
      <c r="B41" s="91"/>
      <c r="C41" s="91"/>
      <c r="D41" s="91"/>
      <c r="E41" s="91"/>
      <c r="F41" s="91"/>
      <c r="G41" s="91"/>
      <c r="H41" s="92"/>
      <c r="I41" s="58">
        <v>1026366.11</v>
      </c>
      <c r="J41" s="59"/>
      <c r="K41" s="59"/>
      <c r="L41" s="55"/>
      <c r="M41" s="59"/>
      <c r="CA41" s="57"/>
      <c r="CB41" s="7" t="s">
        <v>51</v>
      </c>
    </row>
    <row r="42" spans="1:81" customFormat="1" ht="14.4" x14ac:dyDescent="0.3">
      <c r="A42" s="90" t="s">
        <v>52</v>
      </c>
      <c r="B42" s="91"/>
      <c r="C42" s="91"/>
      <c r="D42" s="91"/>
      <c r="E42" s="91"/>
      <c r="F42" s="91"/>
      <c r="G42" s="91"/>
      <c r="H42" s="92"/>
      <c r="I42" s="58">
        <v>1120662.8799999999</v>
      </c>
      <c r="J42" s="59"/>
      <c r="K42" s="59"/>
      <c r="L42" s="55"/>
      <c r="M42" s="59"/>
      <c r="CA42" s="57"/>
      <c r="CB42" s="7" t="s">
        <v>52</v>
      </c>
    </row>
    <row r="43" spans="1:81" customFormat="1" ht="14.4" x14ac:dyDescent="0.3">
      <c r="A43" s="87" t="s">
        <v>53</v>
      </c>
      <c r="B43" s="88"/>
      <c r="C43" s="88"/>
      <c r="D43" s="88"/>
      <c r="E43" s="88"/>
      <c r="F43" s="88"/>
      <c r="G43" s="88"/>
      <c r="H43" s="89"/>
      <c r="I43" s="54">
        <v>6214585.0499999998</v>
      </c>
      <c r="J43" s="55"/>
      <c r="K43" s="55"/>
      <c r="L43" s="55"/>
      <c r="M43" s="56">
        <v>5269.44</v>
      </c>
      <c r="CA43" s="57"/>
      <c r="CC43" s="57" t="s">
        <v>53</v>
      </c>
    </row>
    <row r="44" spans="1:81" customFormat="1" ht="14.4" x14ac:dyDescent="0.3">
      <c r="A44" s="87" t="s">
        <v>54</v>
      </c>
      <c r="B44" s="88"/>
      <c r="C44" s="88"/>
      <c r="D44" s="88"/>
      <c r="E44" s="88"/>
      <c r="F44" s="88"/>
      <c r="G44" s="88"/>
      <c r="H44" s="89"/>
      <c r="I44" s="54">
        <f>I43/12</f>
        <v>517882.08749999997</v>
      </c>
      <c r="J44" s="55"/>
      <c r="K44" s="55"/>
      <c r="L44" s="55"/>
      <c r="M44" s="56">
        <v>5269.44</v>
      </c>
      <c r="CA44" s="57"/>
      <c r="CC44" s="57" t="s">
        <v>53</v>
      </c>
    </row>
    <row r="45" spans="1:81" customFormat="1" ht="53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81" customFormat="1" ht="14.4" x14ac:dyDescent="0.3">
      <c r="A46" s="8"/>
      <c r="B46" s="8"/>
      <c r="C46" s="8"/>
      <c r="D46" s="8"/>
      <c r="E46" s="8"/>
      <c r="F46" s="8"/>
      <c r="G46" s="8"/>
      <c r="H46" s="17"/>
      <c r="I46" s="93"/>
      <c r="J46" s="93"/>
      <c r="K46" s="93"/>
      <c r="L46" s="93"/>
      <c r="M46" s="8"/>
    </row>
  </sheetData>
  <mergeCells count="43">
    <mergeCell ref="I46:L46"/>
    <mergeCell ref="A44:H44"/>
    <mergeCell ref="A39:H39"/>
    <mergeCell ref="A40:H40"/>
    <mergeCell ref="A41:H41"/>
    <mergeCell ref="A42:H42"/>
    <mergeCell ref="A43:H43"/>
    <mergeCell ref="A34:H34"/>
    <mergeCell ref="A35:H35"/>
    <mergeCell ref="A36:H36"/>
    <mergeCell ref="A37:H37"/>
    <mergeCell ref="A38:H38"/>
    <mergeCell ref="A26:M26"/>
    <mergeCell ref="C27:E27"/>
    <mergeCell ref="C28:M28"/>
    <mergeCell ref="A32:H32"/>
    <mergeCell ref="A33:H33"/>
    <mergeCell ref="I22:K22"/>
    <mergeCell ref="L22:M23"/>
    <mergeCell ref="I23:I24"/>
    <mergeCell ref="J23:J24"/>
    <mergeCell ref="C25:E25"/>
    <mergeCell ref="A22:A24"/>
    <mergeCell ref="B22:B24"/>
    <mergeCell ref="C22:E24"/>
    <mergeCell ref="F22:F24"/>
    <mergeCell ref="G22:H22"/>
    <mergeCell ref="A12:M12"/>
    <mergeCell ref="A13:M13"/>
    <mergeCell ref="A14:M14"/>
    <mergeCell ref="C15:G15"/>
    <mergeCell ref="D20:M20"/>
    <mergeCell ref="A5:D5"/>
    <mergeCell ref="J5:M5"/>
    <mergeCell ref="A8:M8"/>
    <mergeCell ref="A9:M9"/>
    <mergeCell ref="A11:M11"/>
    <mergeCell ref="A2:C2"/>
    <mergeCell ref="J2:M2"/>
    <mergeCell ref="A3:D3"/>
    <mergeCell ref="J3:M3"/>
    <mergeCell ref="A4:D4"/>
    <mergeCell ref="J4:M4"/>
  </mergeCells>
  <printOptions horizontalCentered="1"/>
  <pageMargins left="0.39370077848434498" right="0.39370077848434498" top="0.35433071851730302" bottom="0.31496062874794001" header="0.118110239505768" footer="0.118110239505768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ТО лифты Альфа_88 шт_НДС=6 214 </vt:lpstr>
      <vt:lpstr>'ТО лифты Альфа_88 шт_НДС=6 214 '!Заголовки_для_печати</vt:lpstr>
      <vt:lpstr>'ТО лифты Альфа_88 шт_НДС=6 214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Пустовалова Ирина Викторовна</cp:lastModifiedBy>
  <cp:lastPrinted>2023-03-03T14:51:59Z</cp:lastPrinted>
  <dcterms:created xsi:type="dcterms:W3CDTF">2020-09-30T08:50:27Z</dcterms:created>
  <dcterms:modified xsi:type="dcterms:W3CDTF">2026-04-22T11:34:27Z</dcterms:modified>
</cp:coreProperties>
</file>