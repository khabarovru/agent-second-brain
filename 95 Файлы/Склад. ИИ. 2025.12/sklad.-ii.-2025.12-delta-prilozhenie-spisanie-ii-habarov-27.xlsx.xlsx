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Склад. ИИ. 2025.12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9" l="1"/>
  <c r="H41" i="9" l="1"/>
  <c r="H39" i="9"/>
  <c r="H37" i="9"/>
  <c r="H35" i="9"/>
  <c r="B8" i="9" l="1"/>
  <c r="D54" i="5" l="1"/>
  <c r="D65" i="5"/>
  <c r="D63" i="5"/>
  <c r="D78" i="5" l="1"/>
  <c r="D129" i="5" l="1"/>
  <c r="D52" i="5"/>
  <c r="D51" i="5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<sst xmlns="http://schemas.openxmlformats.org/spreadsheetml/2006/main" count="749" uniqueCount="428">
  <si>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</si>
  <si>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</si>
  <si>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</si>
  <si>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</si>
  <si>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</si>
  <si>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</si>
  <si>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</si>
  <si>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</si>
  <si>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</si>
  <si>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</si>
  <si>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</si>
  <si>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</si>
  <si>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</si>
  <si>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</si>
  <si>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</si>
  <si>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</si>
  <si>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</si>
  <si>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</si>
  <si>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</si>
  <si>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</si>
  <si>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</si>
  <si>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</si>
  <si>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</si>
  <si>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</si>
  <si>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</si>
  <si>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</si>
  <si>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</si>
  <si>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</si>
  <si>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</si>
  <si>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</si>
  <si>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</si>
  <si>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</si>
  <si>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</si>
  <si>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</si>
  <si>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</si>
  <si>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</si>
  <si>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</si>
  <si>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</si>
  <si>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</si>
  <si>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</si>
  <si>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</si>
  <si>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</si>
  <si>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</si>
  <si>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</si>
  <si>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</si>
  <si>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</si>
  <si>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</si>
  <si>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</si>
  <si>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</si>
  <si>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</si>
  <si>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</si>
  <si>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</si>
  <si>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</si>
  <si>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</si>
  <si>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</si>
  <si>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</si>
  <si>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</si>
  <si>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</si>
  <si>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</si>
  <si>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</si>
  <si>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</si>
  <si>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</si>
  <si>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</si>
  <si>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</si>
  <si>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</si>
  <si>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</si>
  <si>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</si>
  <si>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</si>
  <si>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</si>
  <si>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</si>
  <si>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</si>
  <si>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</si>
  <si>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</si>
  <si>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</si>
  <si>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</si>
  <si>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</si>
  <si>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</si>
  <si>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</si>
  <si>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</si>
  <si>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</si>
  <si>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</si>
  <si>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</si>
  <si>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</si>
  <si>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</si>
  <si>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</si>
  <si>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</si>
  <si>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</si>
  <si>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</si>
  <si>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</si>
  <si>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</si>
  <si>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</si>
  <si>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</si>
  <si>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</si>
  <si>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</si>
  <si>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</si>
  <si>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</si>
  <si>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</si>
  <si>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</si>
  <si>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</si>
  <si>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</si>
  <si>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</si>
  <si>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</si>
  <si>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</si>
  <si>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</si>
  <si>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</si>
  <si>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</si>
  <si>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</si>
  <si>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</si>
  <si>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</si>
  <si>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</si>
  <si>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</si>
  <si>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</si>
  <si>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</si>
  <si>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</si>
  <si>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</si>
  <si>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</si>
  <si>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</si>
  <si>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</si>
  <si>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</si>
  <si>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</si>
  <si>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</si>
  <si>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</si>
  <si>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</si>
  <si>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</si>
  <si>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</si>
  <si>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</si>
  <si>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</si>
  <si>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</si>
  <si>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</si>
  <si>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</si>
  <si>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</si>
  <si>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</si>
  <si>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</si>
  <si>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</si>
  <si>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</si>
  <si>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</si>
  <si>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</si>
  <si>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</si>
  <si>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</si>
  <si>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</si>
  <si>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</si>
  <si>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</si>
  <si>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</si>
  <si>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</si>
  <si>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</si>
  <si>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</si>
  <si>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</si>
  <si>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</si>
  <si>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</si>
  <si>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</si>
  <si>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</si>
  <si>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</si>
  <si>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</si>
  <si>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</si>
  <si>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</si>
  <si>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</si>
  <si>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</si>
  <si>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</si>
  <si>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</si>
  <si>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</si>
  <si>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</si>
  <si>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</si>
  <si>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</si>
  <si>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</si>
  <si>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</si>
  <si>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</si>
  <si>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</si>
  <si>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</si>
  <si>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</si>
  <si>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</si>
  <si>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</si>
  <si>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</si>
  <si>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</si>
  <si>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</si>
  <si>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</si>
  <si>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</si>
  <si>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</si>
  <si>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</si>
  <si>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</si>
  <si>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</si>
  <si>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</si>
  <si>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</si>
  <si>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</si>
  <si>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</si>
  <si>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</si>
  <si>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</si>
  <si>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</si>
  <si>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</si>
  <si>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</si>
  <si>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</si>
  <si>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</si>
  <si>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</si>
  <si>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</si>
  <si>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</si>
  <si>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</si>
  <si>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</si>
  <si>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</si>
  <si>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</si>
  <si>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</si>
  <si>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</si>
  <si>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</si>
  <si>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</si>
  <si>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</si>
  <si>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</si>
  <si>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</si>
  <si>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</si>
  <si>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</si>
  <si>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</si>
  <si>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</si>
  <si>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</si>
  <si>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</si>
  <si>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</si>
  <si>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</si>
  <si>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</si>
  <si>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</si>
  <si>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</si>
  <si>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</si>
  <si>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</si>
  <si>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</si>
  <si>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</si>
  <si>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</si>
  <si>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</si>
  <si>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</si>
  <si>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</si>
  <si>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</si>
  <si>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</si>
  <si>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</si>
  <si>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</si>
  <si>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</si>
  <si>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</si>
  <si>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</si>
  <si>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</si>
  <si>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</si>
  <si>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</si>
  <si>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</si>
  <si>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</si>
  <si>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</si>
  <si>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</si>
  <si>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</si>
  <si>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</si>
  <si>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</si>
  <si>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</si>
  <si>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</si>
  <si>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</si>
  <si>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</si>
  <si>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</si>
  <si>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</si>
  <si>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</si>
  <si>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</si>
  <si>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</si>
  <si>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</si>
  <si>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</si>
  <si>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</si>
  <si>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</si>
  <si>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</si>
  <si>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</si>
  <si>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</si>
  <si>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</si>
  <si>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</si>
  <si>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</si>
  <si>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</si>
  <si>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</si>
  <si>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</si>
  <si>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</si>
  <si>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</si>
  <si>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</si>
  <si>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</si>
  <si>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</si>
  <si>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</si>
  <si>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</si>
  <si>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</si>
  <si>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</si>
  <si>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</si>
  <si>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</si>
  <si>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</si>
  <si>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</si>
  <si>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</si>
  <si>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</si>
  <si>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</si>
  <si>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</si>
  <si>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</si>
  <si>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</si>
  <si>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</si>
  <si>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</si>
  <si>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</si>
  <si>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</si>
  <si>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</si>
  <si>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</si>
  <si>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</si>
  <si>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</si>
  <si>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</si>
  <si>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</si>
  <si>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</si>
  <si>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</si>
  <si>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</si>
  <si>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</si>
  <si>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</si>
  <si>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</si>
  <si>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</si>
  <si>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</si>
  <si>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</si>
  <si>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</si>
  <si>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</si>
  <si>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</si>
  <si>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</si>
  <si>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</si>
  <si>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</si>
  <si>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</si>
  <si>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</si>
  <si>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</si>
  <si>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</si>
  <si>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</si>
  <si>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</si>
  <si>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</si>
  <si>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</si>
  <si>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</si>
  <si>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</si>
  <si>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</si>
  <si>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</si>
  <si>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</si>
  <si>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</si>
  <si>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</si>
  <si>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</si>
  <si>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</si>
  <si>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</si>
  <si>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</si>
  <si>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</si>
  <si>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</si>
  <si>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</si>
  <si>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</si>
  <si>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</si>
  <si>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</si>
  <si>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</si>
  <si>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</si>
  <si>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</si>
  <si>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</si>
  <si>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</si>
  <si>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</si>
  <si>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</si>
  <si>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</si>
  <si>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</si>
  <si>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</si>
  <si>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</si>
  <si>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</si>
  <si>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</si>
  <si>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</si>
  <si>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</si>
  <si>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</si>
  <si>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</si>
  <si>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</si>
  <si>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</si>
  <si>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</si>
  <si>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</si>
  <si>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</si>
  <si>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</si>
  <si>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</si>
  <si>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</si>
  <si>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</si>
  <si>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</si>
  <si>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</si>
  <si>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</si>
  <si>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</si>
  <si>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</si>
  <si>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</si>
  <si>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</si>
  <si>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</si>
  <si>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</si>
  <si>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</si>
  <si>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</si>
  <si>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</si>
  <si>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</si>
  <si>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</si>
  <si>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</si>
  <si>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</si>
  <si>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</si>
  <si>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</si>
  <si>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</si>
  <si>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</si>
  <si>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</si>
  <si>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</si>
  <si>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</si>
  <si>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</si>
  <si>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</si>
  <si>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</si>
  <si>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</si>
  <si>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</si>
  <si>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</si>
  <si>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</si>
  <si>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</si>
  <si>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</si>
  <si>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</si>
  <si>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</si>
  <si>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</si>
  <si>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</si>
  <si>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</si>
  <si>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</si>
  <si>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</si>
  <si>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</si>
  <si>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</si>
  <si>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</si>
  <si>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</si>
  <si>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</si>
  <si>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</si>
  <si>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</si>
  <si>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</si>
  <si>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</si>
  <si>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</si>
  <si>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</si>
  <si>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</si>
  <si>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</si>
  <si>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</si>
  <si>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</si>
  <si>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</si>
  <si>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</si>
  <si>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</si>
  <si>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шт</t>
  </si>
  <si>
    <t>Хабаров Д.Б.</t>
  </si>
  <si>
    <t>Агеев В.А.</t>
  </si>
  <si>
    <t>Сидорчик Д.А.</t>
  </si>
  <si>
    <t xml:space="preserve">2204003 Материалы для ТО и ТР лифтов и эскалаторов </t>
  </si>
  <si>
    <t>Черняев А.В.</t>
  </si>
  <si>
    <t>Ярый Ж.Б.</t>
  </si>
  <si>
    <t>Привод дверей F9 ThyssenKrupp </t>
  </si>
  <si>
    <t>Плата электронная частотного преобразователя FSR 2, 100A/125A (CPI26/CPI32), 66200009233, THYSSENKR</t>
  </si>
  <si>
    <t>Заявка на обеспечение II00-0000957 от 13.08.2025</t>
  </si>
  <si>
    <t>Эксплуатация и ТО_ Кампус ФТ ДДУ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</si>
  <si>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>№202601Д</t>
    </r>
  </si>
  <si>
    <t>Акт установки №202601Д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</si>
</sst>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9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topLeftCell="A10" zoomScale="85" zoomScaleNormal="85" zoomScaleSheetLayoutView="115" workbookViewId="0">
      <selection activeCell="H30" sqref="H30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1" t="s">
        <v>364</v>
      </c>
      <c r="B1" s="131"/>
      <c r="C1" s="131"/>
      <c r="D1" s="131"/>
      <c r="E1" s="131"/>
      <c r="F1" s="131"/>
      <c r="G1" s="131"/>
      <c r="H1" s="131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4" t="s">
        <v>426</v>
      </c>
      <c r="C7" s="134"/>
      <c r="D7" s="134"/>
      <c r="E7" s="134"/>
      <c r="F7" s="134"/>
      <c r="G7" s="134"/>
      <c r="H7" s="134"/>
    </row>
    <row r="8" spans="1:8" s="74" customFormat="1" ht="21" x14ac:dyDescent="0.35">
      <c r="A8" s="75"/>
      <c r="B8" s="135">
        <f ca="1">NOW()+0</f>
        <v>46043.403232175922</v>
      </c>
      <c r="C8" s="135"/>
      <c r="D8" s="135"/>
      <c r="E8" s="135"/>
      <c r="F8" s="135"/>
      <c r="G8" s="135"/>
      <c r="H8" s="135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6" t="str">
        <f>IF(H11&lt;&gt;0,(VLOOKUP(H11,Сотрудники!D:E,2,0)),0)</f>
        <v>Руководитель группы</v>
      </c>
      <c r="D11" s="136"/>
      <c r="E11" s="136"/>
      <c r="F11" s="136"/>
      <c r="G11" s="136"/>
      <c r="H11" s="88" t="s">
        <v>416</v>
      </c>
    </row>
    <row r="12" spans="1:8" s="74" customFormat="1" ht="21" x14ac:dyDescent="0.35">
      <c r="A12" s="89"/>
      <c r="B12" s="89"/>
      <c r="C12" s="132" t="s">
        <v>4</v>
      </c>
      <c r="D12" s="132"/>
      <c r="E12" s="132"/>
      <c r="F12" s="132"/>
      <c r="G12" s="137" t="s">
        <v>351</v>
      </c>
      <c r="H12" s="137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6" t="str">
        <f>IF(H14&lt;&gt;0,(VLOOKUP(H14,Сотрудники!D:E,2,0)),0)</f>
        <v>Руководитель эксплуатации объектов</v>
      </c>
      <c r="D14" s="136"/>
      <c r="E14" s="136"/>
      <c r="F14" s="136"/>
      <c r="G14" s="136"/>
      <c r="H14" s="88" t="s">
        <v>420</v>
      </c>
    </row>
    <row r="15" spans="1:8" s="74" customFormat="1" ht="21" x14ac:dyDescent="0.35">
      <c r="A15" s="75"/>
      <c r="B15" s="93"/>
      <c r="C15" s="132" t="s">
        <v>4</v>
      </c>
      <c r="D15" s="132"/>
      <c r="E15" s="132"/>
      <c r="F15" s="132"/>
      <c r="G15" s="133" t="s">
        <v>351</v>
      </c>
      <c r="H15" s="133"/>
    </row>
    <row r="16" spans="1:8" s="74" customFormat="1" ht="68.45" customHeight="1" x14ac:dyDescent="0.35">
      <c r="A16" s="86" t="s">
        <v>8</v>
      </c>
      <c r="B16" s="87"/>
      <c r="C16" s="136" t="str">
        <f>IF(H16&lt;&gt;0,(VLOOKUP(H16,Сотрудники!D:E,2,0)),0)</f>
        <v>Ведущий инженер</v>
      </c>
      <c r="D16" s="136"/>
      <c r="E16" s="136"/>
      <c r="F16" s="136"/>
      <c r="G16" s="136"/>
      <c r="H16" s="88" t="s">
        <v>417</v>
      </c>
    </row>
    <row r="17" spans="1:8" s="74" customFormat="1" ht="40.15" customHeight="1" x14ac:dyDescent="0.35">
      <c r="A17" s="75"/>
      <c r="B17" s="93"/>
      <c r="C17" s="132" t="s">
        <v>4</v>
      </c>
      <c r="D17" s="132"/>
      <c r="E17" s="132"/>
      <c r="F17" s="132"/>
      <c r="G17" s="133" t="s">
        <v>351</v>
      </c>
      <c r="H17" s="133"/>
    </row>
    <row r="18" spans="1:8" s="74" customFormat="1" ht="69.599999999999994" customHeight="1" x14ac:dyDescent="0.35">
      <c r="A18" s="75"/>
      <c r="B18" s="94"/>
      <c r="C18" s="136" t="str">
        <f>IF(H18&lt;&gt;0,(VLOOKUP(H18,Сотрудники!D:E,2,0)),0)</f>
        <v>Ведущий инженер КИПиА</v>
      </c>
      <c r="D18" s="136"/>
      <c r="E18" s="136"/>
      <c r="F18" s="136"/>
      <c r="G18" s="136"/>
      <c r="H18" s="88" t="s">
        <v>418</v>
      </c>
    </row>
    <row r="19" spans="1:8" s="74" customFormat="1" ht="40.15" customHeight="1" x14ac:dyDescent="0.35">
      <c r="A19" s="75"/>
      <c r="B19" s="93"/>
      <c r="C19" s="132" t="s">
        <v>4</v>
      </c>
      <c r="D19" s="132"/>
      <c r="E19" s="132"/>
      <c r="F19" s="132"/>
      <c r="G19" s="133" t="s">
        <v>351</v>
      </c>
      <c r="H19" s="133"/>
    </row>
    <row r="20" spans="1:8" s="74" customFormat="1" ht="69.599999999999994" customHeight="1" x14ac:dyDescent="0.35">
      <c r="B20" s="93"/>
      <c r="C20" s="136" t="str">
        <f>IF(H20&lt;&gt;0,(VLOOKUP(H20,Сотрудники!D:E,2,0)),0)</f>
        <v xml:space="preserve">Старший специалист СБ </v>
      </c>
      <c r="D20" s="136"/>
      <c r="E20" s="136"/>
      <c r="F20" s="136"/>
      <c r="G20" s="136"/>
      <c r="H20" s="88" t="s">
        <v>421</v>
      </c>
    </row>
    <row r="21" spans="1:8" s="74" customFormat="1" ht="21" x14ac:dyDescent="0.35">
      <c r="B21" s="93"/>
      <c r="C21" s="132" t="s">
        <v>4</v>
      </c>
      <c r="D21" s="132"/>
      <c r="E21" s="132"/>
      <c r="F21" s="132"/>
      <c r="G21" s="133" t="s">
        <v>351</v>
      </c>
      <c r="H21" s="133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250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">
        <v>425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411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376</v>
      </c>
      <c r="H28" s="114" t="s">
        <v>15</v>
      </c>
    </row>
    <row r="29" spans="1:8" s="126" customFormat="1" ht="84" x14ac:dyDescent="0.25">
      <c r="A29" s="120">
        <v>1</v>
      </c>
      <c r="B29" s="121" t="s">
        <v>422</v>
      </c>
      <c r="C29" s="122"/>
      <c r="D29" s="121" t="s">
        <v>415</v>
      </c>
      <c r="E29" s="121">
        <v>1</v>
      </c>
      <c r="F29" s="124" t="s">
        <v>419</v>
      </c>
      <c r="G29" s="121" t="s">
        <v>424</v>
      </c>
      <c r="H29" s="125" t="s">
        <v>427</v>
      </c>
    </row>
    <row r="30" spans="1:8" s="126" customFormat="1" ht="84" x14ac:dyDescent="0.25">
      <c r="A30" s="120">
        <v>2</v>
      </c>
      <c r="B30" s="121" t="s">
        <v>423</v>
      </c>
      <c r="C30" s="122"/>
      <c r="D30" s="123" t="s">
        <v>415</v>
      </c>
      <c r="E30" s="123">
        <v>1</v>
      </c>
      <c r="F30" s="124" t="s">
        <v>419</v>
      </c>
      <c r="G30" s="121" t="s">
        <v>424</v>
      </c>
      <c r="H30" s="125" t="s">
        <v>427</v>
      </c>
    </row>
    <row r="31" spans="1:8" s="74" customFormat="1" ht="21" x14ac:dyDescent="0.35">
      <c r="A31" s="128"/>
      <c r="B31" s="129"/>
      <c r="C31" s="129"/>
      <c r="D31" s="129"/>
      <c r="E31" s="129"/>
      <c r="F31" s="129"/>
      <c r="G31" s="130"/>
      <c r="H31" s="129"/>
    </row>
    <row r="32" spans="1:8" s="74" customFormat="1" ht="21" x14ac:dyDescent="0.35">
      <c r="B32" s="127"/>
      <c r="C32" s="127"/>
      <c r="D32" s="127"/>
      <c r="E32" s="127"/>
      <c r="F32" s="127"/>
      <c r="G32" s="127"/>
      <c r="H32" s="127"/>
    </row>
    <row r="33" spans="1:8" s="74" customFormat="1" ht="33.6" customHeight="1" x14ac:dyDescent="0.35">
      <c r="A33" s="61"/>
      <c r="B33" s="62" t="s">
        <v>6</v>
      </c>
      <c r="C33" s="66"/>
      <c r="D33" s="66"/>
      <c r="E33" s="66"/>
      <c r="F33" s="66"/>
      <c r="G33" s="67"/>
      <c r="H33" s="59" t="str">
        <f>H14</f>
        <v>Черняев А.В.</v>
      </c>
    </row>
    <row r="34" spans="1:8" s="74" customFormat="1" ht="33.6" customHeight="1" x14ac:dyDescent="0.35">
      <c r="A34" s="61"/>
      <c r="B34" s="68"/>
      <c r="C34" s="69"/>
      <c r="D34" s="69"/>
      <c r="E34" s="69"/>
      <c r="F34" s="70"/>
      <c r="G34" s="138" t="s">
        <v>349</v>
      </c>
      <c r="H34" s="138"/>
    </row>
    <row r="35" spans="1:8" s="74" customFormat="1" ht="33.6" customHeight="1" x14ac:dyDescent="0.35">
      <c r="A35" s="61"/>
      <c r="B35" s="62" t="s">
        <v>8</v>
      </c>
      <c r="C35" s="66"/>
      <c r="D35" s="66"/>
      <c r="E35" s="66"/>
      <c r="F35" s="66"/>
      <c r="G35" s="67"/>
      <c r="H35" s="59" t="str">
        <f>H16</f>
        <v>Агеев В.А.</v>
      </c>
    </row>
    <row r="36" spans="1:8" s="74" customFormat="1" ht="33.6" customHeight="1" x14ac:dyDescent="0.35">
      <c r="A36" s="61"/>
      <c r="B36" s="64"/>
      <c r="C36" s="69"/>
      <c r="D36" s="69"/>
      <c r="E36" s="69"/>
      <c r="F36" s="70"/>
      <c r="G36" s="138" t="s">
        <v>349</v>
      </c>
      <c r="H36" s="138"/>
    </row>
    <row r="37" spans="1:8" s="74" customFormat="1" ht="33.6" customHeight="1" x14ac:dyDescent="0.35">
      <c r="A37" s="61"/>
      <c r="B37" s="65"/>
      <c r="C37" s="66"/>
      <c r="D37" s="66"/>
      <c r="E37" s="66"/>
      <c r="F37" s="66"/>
      <c r="G37" s="67"/>
      <c r="H37" s="59" t="str">
        <f>H18</f>
        <v>Сидорчик Д.А.</v>
      </c>
    </row>
    <row r="38" spans="1:8" s="74" customFormat="1" ht="33.6" customHeight="1" x14ac:dyDescent="0.35">
      <c r="A38" s="61"/>
      <c r="B38" s="64"/>
      <c r="C38" s="69"/>
      <c r="D38" s="69"/>
      <c r="E38" s="69"/>
      <c r="F38" s="70"/>
      <c r="G38" s="138" t="s">
        <v>349</v>
      </c>
      <c r="H38" s="138"/>
    </row>
    <row r="39" spans="1:8" s="74" customFormat="1" ht="33.6" customHeight="1" x14ac:dyDescent="0.35">
      <c r="A39" s="61"/>
      <c r="B39" s="64"/>
      <c r="C39" s="66"/>
      <c r="D39" s="66"/>
      <c r="E39" s="66"/>
      <c r="F39" s="66"/>
      <c r="G39" s="67"/>
      <c r="H39" s="59" t="str">
        <f>H20</f>
        <v>Ярый Ж.Б.</v>
      </c>
    </row>
    <row r="40" spans="1:8" s="74" customFormat="1" ht="33.6" customHeight="1" x14ac:dyDescent="0.35">
      <c r="A40" s="61"/>
      <c r="B40" s="64"/>
      <c r="C40" s="69"/>
      <c r="D40" s="69"/>
      <c r="E40" s="69"/>
      <c r="F40" s="70"/>
      <c r="G40" s="138" t="s">
        <v>349</v>
      </c>
      <c r="H40" s="138"/>
    </row>
    <row r="41" spans="1:8" s="74" customFormat="1" ht="33.6" customHeight="1" x14ac:dyDescent="0.35">
      <c r="A41" s="61"/>
      <c r="B41" s="62" t="s">
        <v>3</v>
      </c>
      <c r="C41" s="66"/>
      <c r="D41" s="66"/>
      <c r="E41" s="66"/>
      <c r="F41" s="66"/>
      <c r="G41" s="67"/>
      <c r="H41" s="60" t="str">
        <f>H11</f>
        <v>Хабаров Д.Б.</v>
      </c>
    </row>
    <row r="42" spans="1:8" s="74" customFormat="1" ht="33.6" customHeight="1" x14ac:dyDescent="0.35">
      <c r="A42" s="61"/>
      <c r="B42" s="63"/>
      <c r="C42" s="69"/>
      <c r="D42" s="69"/>
      <c r="E42" s="69"/>
      <c r="F42" s="70"/>
      <c r="G42" s="138" t="s">
        <v>349</v>
      </c>
      <c r="H42" s="138"/>
    </row>
  </sheetData>
  <sheetProtection formatCells="0" formatColumns="0" formatRows="0" insertColumns="0" insertRows="0" insertHyperlinks="0" deleteColumns="0" deleteRows="0" sort="0" autoFilter="0" pivotTables="0"/>
  <dataConsolidate/>
  <mergeCells count="23">
    <mergeCell ref="G42:H42"/>
    <mergeCell ref="G34:H34"/>
    <mergeCell ref="G36:H36"/>
    <mergeCell ref="G38:H38"/>
    <mergeCell ref="G40:H40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'!$A$2:$A$38</xm:f>
          </x14:formula1>
          <xm:sqref>B23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  <x14:dataValidation type="list" allowBlank="1" showInputMessage="1" showErrorMessage="1">
          <x14:formula1>
            <xm:f>'Объекты '!$C$2:$C$14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C23" sqref="C23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5" t="s">
        <v>413</v>
      </c>
      <c r="B5" s="5" t="s">
        <v>414</v>
      </c>
      <c r="C5" s="20" t="s">
        <v>279</v>
      </c>
      <c r="D5" s="7"/>
    </row>
    <row r="6" spans="1:4" x14ac:dyDescent="0.25">
      <c r="A6" s="28" t="s">
        <v>251</v>
      </c>
      <c r="B6" s="29" t="s">
        <v>267</v>
      </c>
      <c r="C6" s="6" t="s">
        <v>280</v>
      </c>
      <c r="D6" s="5" t="s">
        <v>144</v>
      </c>
    </row>
    <row r="7" spans="1:4" x14ac:dyDescent="0.25">
      <c r="A7" s="28" t="s">
        <v>252</v>
      </c>
      <c r="B7" s="29" t="s">
        <v>267</v>
      </c>
      <c r="C7" s="6" t="s">
        <v>281</v>
      </c>
      <c r="D7" s="5" t="s">
        <v>147</v>
      </c>
    </row>
    <row r="8" spans="1:4" x14ac:dyDescent="0.25">
      <c r="A8" s="30" t="s">
        <v>255</v>
      </c>
      <c r="B8" s="31" t="s">
        <v>270</v>
      </c>
      <c r="C8" s="6" t="s">
        <v>282</v>
      </c>
      <c r="D8" s="5" t="s">
        <v>133</v>
      </c>
    </row>
    <row r="9" spans="1:4" s="21" customFormat="1" ht="14.45" customHeight="1" x14ac:dyDescent="0.25">
      <c r="A9" s="28" t="s">
        <v>250</v>
      </c>
      <c r="B9" s="29" t="s">
        <v>267</v>
      </c>
      <c r="C9" s="20" t="s">
        <v>283</v>
      </c>
      <c r="D9" s="5" t="s">
        <v>140</v>
      </c>
    </row>
    <row r="10" spans="1:4" x14ac:dyDescent="0.25">
      <c r="A10" s="28" t="s">
        <v>249</v>
      </c>
      <c r="B10" s="29" t="s">
        <v>267</v>
      </c>
      <c r="C10" s="6" t="s">
        <v>284</v>
      </c>
      <c r="D10" s="5" t="s">
        <v>134</v>
      </c>
    </row>
    <row r="11" spans="1:4" x14ac:dyDescent="0.25">
      <c r="A11" s="28" t="s">
        <v>253</v>
      </c>
      <c r="B11" s="29" t="s">
        <v>267</v>
      </c>
      <c r="C11" s="6" t="s">
        <v>285</v>
      </c>
      <c r="D11" s="5" t="s">
        <v>141</v>
      </c>
    </row>
    <row r="12" spans="1:4" x14ac:dyDescent="0.25">
      <c r="A12" s="25" t="s">
        <v>243</v>
      </c>
      <c r="B12" s="26" t="s">
        <v>262</v>
      </c>
      <c r="C12" s="6" t="s">
        <v>286</v>
      </c>
      <c r="D12" s="5" t="s">
        <v>148</v>
      </c>
    </row>
    <row r="13" spans="1:4" x14ac:dyDescent="0.25">
      <c r="A13" s="27" t="s">
        <v>237</v>
      </c>
      <c r="B13" s="27" t="s">
        <v>262</v>
      </c>
      <c r="C13" s="6" t="s">
        <v>287</v>
      </c>
      <c r="D13" s="5" t="s">
        <v>136</v>
      </c>
    </row>
    <row r="14" spans="1:4" x14ac:dyDescent="0.25">
      <c r="A14" s="28" t="s">
        <v>405</v>
      </c>
      <c r="B14" s="29" t="s">
        <v>267</v>
      </c>
      <c r="C14" s="6" t="s">
        <v>411</v>
      </c>
      <c r="D14" s="7"/>
    </row>
    <row r="15" spans="1:4" x14ac:dyDescent="0.25">
      <c r="A15" s="28" t="s">
        <v>406</v>
      </c>
      <c r="B15" s="29" t="s">
        <v>267</v>
      </c>
      <c r="C15" s="6" t="s">
        <v>412</v>
      </c>
      <c r="D15" s="7"/>
    </row>
    <row r="16" spans="1:4" x14ac:dyDescent="0.25">
      <c r="A16" s="25" t="s">
        <v>247</v>
      </c>
      <c r="B16" s="26" t="s">
        <v>262</v>
      </c>
      <c r="D16" s="5" t="s">
        <v>138</v>
      </c>
    </row>
    <row r="17" spans="1:4" x14ac:dyDescent="0.25">
      <c r="A17" s="25" t="s">
        <v>235</v>
      </c>
      <c r="B17" s="26" t="s">
        <v>262</v>
      </c>
      <c r="C17" s="6"/>
      <c r="D17" s="5" t="s">
        <v>94</v>
      </c>
    </row>
    <row r="18" spans="1:4" x14ac:dyDescent="0.25">
      <c r="A18" s="25" t="s">
        <v>246</v>
      </c>
      <c r="B18" s="26" t="s">
        <v>262</v>
      </c>
      <c r="C18" s="20"/>
      <c r="D18" s="5" t="s">
        <v>111</v>
      </c>
    </row>
    <row r="19" spans="1:4" x14ac:dyDescent="0.25">
      <c r="A19" s="25" t="s">
        <v>240</v>
      </c>
      <c r="B19" s="26" t="s">
        <v>262</v>
      </c>
      <c r="C19" s="6"/>
      <c r="D19" s="5" t="s">
        <v>137</v>
      </c>
    </row>
    <row r="20" spans="1:4" x14ac:dyDescent="0.25">
      <c r="A20" s="25" t="s">
        <v>238</v>
      </c>
      <c r="B20" s="26" t="s">
        <v>262</v>
      </c>
      <c r="C20" s="6"/>
      <c r="D20" s="5" t="s">
        <v>146</v>
      </c>
    </row>
    <row r="21" spans="1:4" ht="15.75" customHeight="1" x14ac:dyDescent="0.25">
      <c r="A21" s="25" t="s">
        <v>239</v>
      </c>
      <c r="B21" s="26" t="s">
        <v>262</v>
      </c>
      <c r="C21" s="6"/>
      <c r="D21" s="5" t="s">
        <v>143</v>
      </c>
    </row>
    <row r="22" spans="1:4" x14ac:dyDescent="0.25">
      <c r="A22" s="25" t="s">
        <v>232</v>
      </c>
      <c r="B22" s="26" t="s">
        <v>262</v>
      </c>
      <c r="C22" s="20"/>
      <c r="D22" s="5" t="s">
        <v>145</v>
      </c>
    </row>
    <row r="23" spans="1:4" x14ac:dyDescent="0.25">
      <c r="A23" s="25" t="s">
        <v>261</v>
      </c>
      <c r="B23" s="26" t="s">
        <v>262</v>
      </c>
      <c r="C23" s="6"/>
      <c r="D23" s="5" t="s">
        <v>95</v>
      </c>
    </row>
    <row r="24" spans="1:4" x14ac:dyDescent="0.25">
      <c r="A24" s="25" t="s">
        <v>242</v>
      </c>
      <c r="B24" s="26" t="s">
        <v>262</v>
      </c>
      <c r="C24" s="6"/>
      <c r="D24" s="5" t="s">
        <v>350</v>
      </c>
    </row>
    <row r="25" spans="1:4" x14ac:dyDescent="0.25">
      <c r="A25" s="25" t="s">
        <v>241</v>
      </c>
      <c r="B25" s="26" t="s">
        <v>262</v>
      </c>
      <c r="C25" s="6"/>
      <c r="D25" s="5" t="s">
        <v>304</v>
      </c>
    </row>
    <row r="26" spans="1:4" x14ac:dyDescent="0.25">
      <c r="A26" s="34" t="s">
        <v>258</v>
      </c>
      <c r="B26" s="35" t="s">
        <v>272</v>
      </c>
      <c r="C26" s="20"/>
      <c r="D26" s="5" t="s">
        <v>293</v>
      </c>
    </row>
    <row r="27" spans="1:4" x14ac:dyDescent="0.25">
      <c r="A27" s="25" t="s">
        <v>266</v>
      </c>
      <c r="B27" s="26" t="s">
        <v>262</v>
      </c>
      <c r="C27" s="6"/>
      <c r="D27" s="5" t="s">
        <v>142</v>
      </c>
    </row>
    <row r="28" spans="1:4" x14ac:dyDescent="0.25">
      <c r="A28" s="25" t="s">
        <v>248</v>
      </c>
      <c r="B28" s="26" t="s">
        <v>262</v>
      </c>
      <c r="C28" s="6"/>
      <c r="D28" s="5" t="s">
        <v>113</v>
      </c>
    </row>
    <row r="29" spans="1:4" x14ac:dyDescent="0.25">
      <c r="A29" s="25" t="s">
        <v>265</v>
      </c>
      <c r="B29" s="26" t="s">
        <v>262</v>
      </c>
      <c r="C29" s="6"/>
      <c r="D29" s="7" t="s">
        <v>371</v>
      </c>
    </row>
    <row r="30" spans="1:4" x14ac:dyDescent="0.25">
      <c r="A30" s="28" t="s">
        <v>268</v>
      </c>
      <c r="B30" s="29" t="s">
        <v>267</v>
      </c>
      <c r="C30" s="6"/>
      <c r="D30" s="7"/>
    </row>
    <row r="31" spans="1:4" x14ac:dyDescent="0.25">
      <c r="A31" s="25" t="s">
        <v>233</v>
      </c>
      <c r="B31" s="26" t="s">
        <v>262</v>
      </c>
      <c r="D31" s="7"/>
    </row>
    <row r="32" spans="1:4" x14ac:dyDescent="0.25">
      <c r="A32" s="27" t="s">
        <v>234</v>
      </c>
      <c r="B32" s="27" t="s">
        <v>262</v>
      </c>
      <c r="D32" s="7"/>
    </row>
    <row r="33" spans="1:4" x14ac:dyDescent="0.25">
      <c r="A33" s="36" t="s">
        <v>259</v>
      </c>
      <c r="B33" s="37" t="s">
        <v>273</v>
      </c>
      <c r="C33" s="5"/>
      <c r="D33" s="7"/>
    </row>
    <row r="34" spans="1:4" x14ac:dyDescent="0.25">
      <c r="A34" s="38" t="s">
        <v>260</v>
      </c>
      <c r="B34" s="39" t="s">
        <v>274</v>
      </c>
      <c r="C34" s="5"/>
      <c r="D34" s="7"/>
    </row>
    <row r="35" spans="1:4" x14ac:dyDescent="0.25">
      <c r="A35" s="25" t="s">
        <v>245</v>
      </c>
      <c r="B35" s="26" t="s">
        <v>262</v>
      </c>
      <c r="C35" s="6"/>
      <c r="D35" s="7"/>
    </row>
    <row r="36" spans="1:4" x14ac:dyDescent="0.25">
      <c r="A36" s="30" t="s">
        <v>269</v>
      </c>
      <c r="B36" s="31" t="s">
        <v>270</v>
      </c>
      <c r="C36" s="5"/>
      <c r="D36" s="7"/>
    </row>
    <row r="37" spans="1:4" x14ac:dyDescent="0.25">
      <c r="A37" s="25" t="s">
        <v>236</v>
      </c>
      <c r="B37" s="26" t="s">
        <v>262</v>
      </c>
      <c r="D37" s="7"/>
    </row>
    <row r="38" spans="1:4" x14ac:dyDescent="0.25">
      <c r="A38" s="30" t="s">
        <v>256</v>
      </c>
      <c r="B38" s="31" t="s">
        <v>270</v>
      </c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uxeFQVXIEmNg2BKThF8Qrz37cmDHP2VoivfGJCx621eVqnmIRErFtKPdOCfM5Vx3wMvUhl01iUOjgTH5Dq4G5w==" saltValue="K53pEMYguA1u/zUk8NrryA==" spinCount="100000" sheet="1" formatCells="0" formatColumns="0" formatRows="0" insertColumns="0" insertRows="0" insertHyperlinks="0" deleteColumns="0" deleteRows="0" sort="0" autoFilter="0" pivotTables="0"/>
  <autoFilter ref="A1:D1">
    <sortState ref="A2:D38">
      <sortCondition ref="A1"/>
    </sortState>
  </autoFilter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396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397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390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379</v>
      </c>
      <c r="D14" s="49" t="str">
        <f t="shared" si="0"/>
        <v>Брайко В.С.</v>
      </c>
      <c r="E14" s="56" t="s">
        <v>399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397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380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399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382</v>
      </c>
      <c r="D29" s="49" t="str">
        <f t="shared" si="0"/>
        <v>Гетманов В.Ю.</v>
      </c>
      <c r="E29" s="56" t="s">
        <v>383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398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388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395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399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391</v>
      </c>
      <c r="D51" s="49" t="str">
        <f t="shared" si="1"/>
        <v>Завгородний К.Т.</v>
      </c>
      <c r="E51" s="46" t="s">
        <v>399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392</v>
      </c>
      <c r="D52" s="49" t="str">
        <f t="shared" si="1"/>
        <v>Зарубин И.А.</v>
      </c>
      <c r="E52" s="73" t="s">
        <v>393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404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400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407</v>
      </c>
      <c r="D58" s="47" t="s">
        <v>408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403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397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402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384</v>
      </c>
      <c r="D86" s="47" t="s">
        <v>384</v>
      </c>
      <c r="E86" s="56" t="s">
        <v>385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377</v>
      </c>
      <c r="D87" s="49" t="s">
        <v>378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399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399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399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397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386</v>
      </c>
      <c r="D112" s="47" t="s">
        <v>386</v>
      </c>
      <c r="E112" s="56" t="s">
        <v>387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409</v>
      </c>
      <c r="D113" s="47" t="s">
        <v>410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399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399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389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381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394</v>
      </c>
      <c r="D129" s="49" t="str">
        <f t="shared" si="4"/>
        <v>Христенко А.А.</v>
      </c>
      <c r="E129" s="56" t="s">
        <v>401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399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375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383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2026-01-21T06:40:39Z</dcterms:modified>
</cp:coreProperties>
</file>