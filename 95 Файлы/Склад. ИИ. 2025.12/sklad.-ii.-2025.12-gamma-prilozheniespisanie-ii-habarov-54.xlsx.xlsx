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клад. ИИ. 2025.12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9" l="1"/>
  <c r="H41" i="9" l="1"/>
  <c r="H39" i="9"/>
  <c r="H37" i="9"/>
  <c r="H35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<sst xmlns="http://schemas.openxmlformats.org/spreadsheetml/2006/main" count="749" uniqueCount="428">
  <si>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</si>
  <si>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</si>
  <si>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</si>
  <si>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</si>
  <si>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</si>
  <si>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</si>
  <si>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</si>
  <si>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</si>
  <si>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</si>
  <si>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</si>
  <si>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</si>
  <si>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</si>
  <si>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</si>
  <si>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</si>
  <si>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</si>
  <si>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</si>
  <si>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</si>
  <si>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</si>
  <si>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</si>
  <si>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</si>
  <si>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</si>
  <si>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</si>
  <si>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</si>
  <si>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</si>
  <si>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</si>
  <si>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</si>
  <si>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</si>
  <si>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</si>
  <si>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</si>
  <si>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</si>
  <si>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</si>
  <si>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</si>
  <si>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</si>
  <si>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</si>
  <si>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</si>
  <si>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</si>
  <si>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</si>
  <si>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</si>
  <si>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</si>
  <si>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</si>
  <si>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</si>
  <si>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</si>
  <si>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</si>
  <si>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</si>
  <si>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</si>
  <si>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</si>
  <si>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</si>
  <si>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</si>
  <si>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</si>
  <si>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</si>
  <si>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</si>
  <si>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</si>
  <si>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</si>
  <si>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</si>
  <si>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</si>
  <si>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</si>
  <si>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</si>
  <si>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</si>
  <si>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</si>
  <si>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</si>
  <si>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</si>
  <si>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</si>
  <si>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</si>
  <si>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</si>
  <si>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</si>
  <si>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</si>
  <si>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</si>
  <si>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</si>
  <si>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</si>
  <si>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</si>
  <si>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</si>
  <si>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</si>
  <si>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</si>
  <si>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</si>
  <si>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</si>
  <si>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</si>
  <si>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</si>
  <si>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</si>
  <si>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</si>
  <si>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</si>
  <si>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</si>
  <si>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</si>
  <si>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</si>
  <si>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</si>
  <si>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</si>
  <si>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</si>
  <si>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</si>
  <si>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</si>
  <si>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</si>
  <si>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</si>
  <si>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</si>
  <si>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</si>
  <si>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</si>
  <si>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</si>
  <si>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</si>
  <si>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</si>
  <si>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</si>
  <si>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</si>
  <si>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</si>
  <si>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</si>
  <si>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</si>
  <si>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</si>
  <si>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</si>
  <si>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</si>
  <si>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</si>
  <si>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</si>
  <si>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</si>
  <si>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</si>
  <si>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</si>
  <si>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</si>
  <si>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</si>
  <si>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</si>
  <si>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</si>
  <si>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</si>
  <si>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</si>
  <si>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</si>
  <si>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</si>
  <si>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</si>
  <si>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</si>
  <si>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</si>
  <si>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</si>
  <si>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</si>
  <si>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</si>
  <si>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</si>
  <si>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</si>
  <si>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</si>
  <si>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</si>
  <si>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</si>
  <si>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</si>
  <si>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</si>
  <si>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</si>
  <si>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</si>
  <si>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</si>
  <si>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</si>
  <si>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</si>
  <si>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</si>
  <si>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</si>
  <si>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</si>
  <si>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</si>
  <si>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</si>
  <si>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</si>
  <si>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</si>
  <si>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</si>
  <si>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</si>
  <si>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</si>
  <si>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</si>
  <si>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</si>
  <si>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</si>
  <si>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</si>
  <si>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</si>
  <si>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</si>
  <si>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</si>
  <si>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</si>
  <si>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</si>
  <si>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</si>
  <si>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</si>
  <si>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</si>
  <si>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</si>
  <si>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</si>
  <si>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</si>
  <si>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</si>
  <si>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</si>
  <si>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</si>
  <si>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</si>
  <si>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</si>
  <si>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</si>
  <si>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</si>
  <si>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</si>
  <si>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</si>
  <si>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</si>
  <si>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</si>
  <si>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</si>
  <si>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</si>
  <si>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</si>
  <si>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</si>
  <si>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</si>
  <si>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</si>
  <si>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</si>
  <si>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</si>
  <si>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</si>
  <si>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</si>
  <si>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</si>
  <si>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</si>
  <si>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</si>
  <si>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</si>
  <si>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</si>
  <si>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</si>
  <si>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</si>
  <si>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</si>
  <si>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</si>
  <si>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</si>
  <si>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</si>
  <si>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</si>
  <si>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</si>
  <si>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</si>
  <si>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</si>
  <si>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</si>
  <si>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</si>
  <si>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</si>
  <si>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</si>
  <si>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</si>
  <si>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</si>
  <si>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</si>
  <si>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</si>
  <si>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</si>
  <si>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</si>
  <si>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</si>
  <si>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</si>
  <si>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</si>
  <si>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</si>
  <si>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</si>
  <si>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</si>
  <si>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</si>
  <si>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</si>
  <si>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</si>
  <si>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</si>
  <si>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</si>
  <si>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</si>
  <si>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</si>
  <si>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</si>
  <si>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</si>
  <si>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</si>
  <si>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</si>
  <si>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</si>
  <si>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</si>
  <si>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</si>
  <si>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</si>
  <si>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</si>
  <si>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</si>
  <si>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</si>
  <si>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</si>
  <si>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</si>
  <si>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</si>
  <si>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</si>
  <si>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</si>
  <si>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</si>
  <si>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</si>
  <si>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</si>
  <si>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</si>
  <si>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</si>
  <si>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</si>
  <si>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</si>
  <si>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</si>
  <si>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</si>
  <si>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</si>
  <si>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</si>
  <si>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</si>
  <si>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</si>
  <si>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</si>
  <si>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</si>
  <si>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</si>
  <si>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</si>
  <si>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</si>
  <si>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</si>
  <si>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</si>
  <si>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</si>
  <si>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</si>
  <si>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</si>
  <si>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</si>
  <si>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</si>
  <si>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</si>
  <si>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</si>
  <si>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</si>
  <si>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</si>
  <si>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</si>
  <si>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</si>
  <si>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</si>
  <si>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</si>
  <si>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</si>
  <si>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</si>
  <si>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</si>
  <si>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</si>
  <si>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</si>
  <si>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</si>
  <si>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</si>
  <si>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</si>
  <si>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</si>
  <si>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</si>
  <si>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</si>
  <si>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</si>
  <si>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</si>
  <si>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</si>
  <si>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</si>
  <si>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</si>
  <si>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</si>
  <si>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</si>
  <si>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</si>
  <si>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</si>
  <si>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</si>
  <si>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</si>
  <si>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</si>
  <si>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</si>
  <si>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</si>
  <si>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</si>
  <si>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</si>
  <si>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</si>
  <si>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</si>
  <si>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</si>
  <si>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</si>
  <si>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</si>
  <si>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</si>
  <si>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</si>
  <si>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</si>
  <si>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</si>
  <si>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</si>
  <si>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</si>
  <si>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</si>
  <si>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</si>
  <si>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</si>
  <si>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</si>
  <si>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</si>
  <si>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</si>
  <si>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</si>
  <si>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</si>
  <si>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</si>
  <si>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</si>
  <si>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</si>
  <si>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</si>
  <si>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</si>
  <si>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</si>
  <si>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</si>
  <si>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</si>
  <si>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</si>
  <si>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</si>
  <si>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</si>
  <si>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</si>
  <si>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</si>
  <si>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</si>
  <si>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</si>
  <si>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</si>
  <si>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</si>
  <si>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</si>
  <si>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</si>
  <si>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</si>
  <si>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</si>
  <si>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</si>
  <si>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</si>
  <si>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</si>
  <si>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</si>
  <si>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</si>
  <si>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</si>
  <si>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</si>
  <si>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</si>
  <si>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</si>
  <si>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</si>
  <si>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</si>
  <si>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</si>
  <si>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</si>
  <si>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</si>
  <si>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</si>
  <si>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</si>
  <si>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</si>
  <si>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</si>
  <si>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</si>
  <si>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</si>
  <si>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</si>
  <si>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</si>
  <si>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</si>
  <si>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</si>
  <si>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</si>
  <si>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</si>
  <si>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</si>
  <si>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</si>
  <si>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</si>
  <si>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</si>
  <si>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</si>
  <si>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</si>
  <si>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</si>
  <si>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</si>
  <si>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</si>
  <si>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</si>
  <si>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</si>
  <si>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</si>
  <si>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</si>
  <si>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</si>
  <si>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</si>
  <si>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</si>
  <si>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</si>
  <si>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</si>
  <si>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</si>
  <si>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</si>
  <si>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</si>
  <si>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</si>
  <si>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</si>
  <si>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</si>
  <si>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</si>
  <si>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</si>
  <si>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</si>
  <si>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</si>
  <si>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</si>
  <si>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</si>
  <si>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</si>
  <si>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</si>
  <si>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</si>
  <si>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</si>
  <si>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</si>
  <si>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</si>
  <si>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</si>
  <si>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</si>
  <si>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</si>
  <si>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</si>
  <si>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</si>
  <si>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</si>
  <si>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</si>
  <si>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</si>
  <si>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</si>
  <si>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</si>
  <si>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</si>
  <si>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</si>
  <si>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</si>
  <si>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</si>
  <si>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</si>
  <si>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</si>
  <si>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</si>
  <si>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</si>
  <si>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</si>
  <si>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</si>
  <si>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Боровик Г.В.</t>
  </si>
  <si>
    <t>Агеев В.А.</t>
  </si>
  <si>
    <t>Сидорчик Д.А.</t>
  </si>
  <si>
    <t>Летов А.К.</t>
  </si>
  <si>
    <t>Фотобарьер (световая завеса) WECO-917A71-AC220V</t>
  </si>
  <si>
    <t>Энкодер ААА633АJ1 (AAA633AJ401) для лебедки OTIS Gen2</t>
  </si>
  <si>
    <t xml:space="preserve">2204003 Материалы для ТО и ТР лифтов и эскалаторов </t>
  </si>
  <si>
    <t>Заявка на обеспечение II00-0000932 от 06.08.2025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</si>
  <si>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№202512Г</t>
    </r>
  </si>
  <si>
    <t>Акт Установки №202512Г</t>
  </si>
  <si>
    <t>Эксплуатация и ТО_ Кампус ФТ ДДУ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</si>
</sst>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9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topLeftCell="A7" zoomScale="85" zoomScaleNormal="85" zoomScaleSheetLayoutView="115" workbookViewId="0">
      <selection activeCell="B25" sqref="B25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1" t="s">
        <v>364</v>
      </c>
      <c r="B1" s="131"/>
      <c r="C1" s="131"/>
      <c r="D1" s="131"/>
      <c r="E1" s="131"/>
      <c r="F1" s="131"/>
      <c r="G1" s="131"/>
      <c r="H1" s="131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4" t="s">
        <v>425</v>
      </c>
      <c r="C7" s="134"/>
      <c r="D7" s="134"/>
      <c r="E7" s="134"/>
      <c r="F7" s="134"/>
      <c r="G7" s="134"/>
      <c r="H7" s="134"/>
    </row>
    <row r="8" spans="1:8" s="74" customFormat="1" ht="21" x14ac:dyDescent="0.35">
      <c r="A8" s="75"/>
      <c r="B8" s="135">
        <f ca="1">NOW()+0</f>
        <v>46043.390945601852</v>
      </c>
      <c r="C8" s="135"/>
      <c r="D8" s="135"/>
      <c r="E8" s="135"/>
      <c r="F8" s="135"/>
      <c r="G8" s="135"/>
      <c r="H8" s="135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6" t="str">
        <f>IF(H11&lt;&gt;0,(VLOOKUP(H11,Сотрудники!D:E,2,0)),0)</f>
        <v>Руководитель группы</v>
      </c>
      <c r="D11" s="136"/>
      <c r="E11" s="136"/>
      <c r="F11" s="136"/>
      <c r="G11" s="136"/>
      <c r="H11" s="88" t="s">
        <v>416</v>
      </c>
    </row>
    <row r="12" spans="1:8" s="74" customFormat="1" ht="21" x14ac:dyDescent="0.35">
      <c r="A12" s="89"/>
      <c r="B12" s="89"/>
      <c r="C12" s="132" t="s">
        <v>4</v>
      </c>
      <c r="D12" s="132"/>
      <c r="E12" s="132"/>
      <c r="F12" s="132"/>
      <c r="G12" s="137" t="s">
        <v>351</v>
      </c>
      <c r="H12" s="137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6" t="str">
        <f>IF(H14&lt;&gt;0,(VLOOKUP(H14,Сотрудники!D:E,2,0)),0)</f>
        <v>Ведущий инженер</v>
      </c>
      <c r="D14" s="136"/>
      <c r="E14" s="136"/>
      <c r="F14" s="136"/>
      <c r="G14" s="136"/>
      <c r="H14" s="88" t="s">
        <v>417</v>
      </c>
    </row>
    <row r="15" spans="1:8" s="74" customFormat="1" ht="21" x14ac:dyDescent="0.35">
      <c r="A15" s="75"/>
      <c r="B15" s="93"/>
      <c r="C15" s="132" t="s">
        <v>4</v>
      </c>
      <c r="D15" s="132"/>
      <c r="E15" s="132"/>
      <c r="F15" s="132"/>
      <c r="G15" s="133" t="s">
        <v>351</v>
      </c>
      <c r="H15" s="133"/>
    </row>
    <row r="16" spans="1:8" s="74" customFormat="1" ht="68.45" customHeight="1" x14ac:dyDescent="0.35">
      <c r="A16" s="86" t="s">
        <v>8</v>
      </c>
      <c r="B16" s="87"/>
      <c r="C16" s="136" t="str">
        <f>IF(H16&lt;&gt;0,(VLOOKUP(H16,Сотрудники!D:E,2,0)),0)</f>
        <v>Ведущий инженер</v>
      </c>
      <c r="D16" s="136"/>
      <c r="E16" s="136"/>
      <c r="F16" s="136"/>
      <c r="G16" s="136"/>
      <c r="H16" s="88" t="s">
        <v>418</v>
      </c>
    </row>
    <row r="17" spans="1:8" s="74" customFormat="1" ht="40.15" customHeight="1" x14ac:dyDescent="0.35">
      <c r="A17" s="75"/>
      <c r="B17" s="93"/>
      <c r="C17" s="132" t="s">
        <v>4</v>
      </c>
      <c r="D17" s="132"/>
      <c r="E17" s="132"/>
      <c r="F17" s="132"/>
      <c r="G17" s="133" t="s">
        <v>351</v>
      </c>
      <c r="H17" s="133"/>
    </row>
    <row r="18" spans="1:8" s="74" customFormat="1" ht="69.599999999999994" customHeight="1" x14ac:dyDescent="0.35">
      <c r="A18" s="75"/>
      <c r="B18" s="94"/>
      <c r="C18" s="136" t="str">
        <f>IF(H18&lt;&gt;0,(VLOOKUP(H18,Сотрудники!D:E,2,0)),0)</f>
        <v>Ведущий инженер КИПиА</v>
      </c>
      <c r="D18" s="136"/>
      <c r="E18" s="136"/>
      <c r="F18" s="136"/>
      <c r="G18" s="136"/>
      <c r="H18" s="88" t="s">
        <v>419</v>
      </c>
    </row>
    <row r="19" spans="1:8" s="74" customFormat="1" ht="40.15" customHeight="1" x14ac:dyDescent="0.35">
      <c r="A19" s="75"/>
      <c r="B19" s="93"/>
      <c r="C19" s="132" t="s">
        <v>4</v>
      </c>
      <c r="D19" s="132"/>
      <c r="E19" s="132"/>
      <c r="F19" s="132"/>
      <c r="G19" s="133" t="s">
        <v>351</v>
      </c>
      <c r="H19" s="133"/>
    </row>
    <row r="20" spans="1:8" s="74" customFormat="1" ht="69.599999999999994" customHeight="1" x14ac:dyDescent="0.35">
      <c r="B20" s="93"/>
      <c r="C20" s="136" t="str">
        <f>IF(H20&lt;&gt;0,(VLOOKUP(H20,Сотрудники!D:E,2,0)),0)</f>
        <v>Главный специалист СБ</v>
      </c>
      <c r="D20" s="136"/>
      <c r="E20" s="136"/>
      <c r="F20" s="136"/>
      <c r="G20" s="136"/>
      <c r="H20" s="88" t="s">
        <v>420</v>
      </c>
    </row>
    <row r="21" spans="1:8" s="74" customFormat="1" ht="21" x14ac:dyDescent="0.35">
      <c r="B21" s="93"/>
      <c r="C21" s="132" t="s">
        <v>4</v>
      </c>
      <c r="D21" s="132"/>
      <c r="E21" s="132"/>
      <c r="F21" s="132"/>
      <c r="G21" s="133" t="s">
        <v>351</v>
      </c>
      <c r="H21" s="133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251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427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6" customFormat="1" ht="84" x14ac:dyDescent="0.25">
      <c r="A29" s="120">
        <v>1</v>
      </c>
      <c r="B29" s="121" t="s">
        <v>421</v>
      </c>
      <c r="C29" s="122"/>
      <c r="D29" s="121" t="s">
        <v>415</v>
      </c>
      <c r="E29" s="121">
        <v>5</v>
      </c>
      <c r="F29" s="124" t="s">
        <v>423</v>
      </c>
      <c r="G29" s="121" t="s">
        <v>424</v>
      </c>
      <c r="H29" s="125" t="s">
        <v>426</v>
      </c>
    </row>
    <row r="30" spans="1:8" s="126" customFormat="1" ht="84" x14ac:dyDescent="0.25">
      <c r="A30" s="120">
        <v>2</v>
      </c>
      <c r="B30" s="121" t="s">
        <v>422</v>
      </c>
      <c r="C30" s="122"/>
      <c r="D30" s="123" t="s">
        <v>415</v>
      </c>
      <c r="E30" s="123">
        <v>1</v>
      </c>
      <c r="F30" s="124" t="s">
        <v>423</v>
      </c>
      <c r="G30" s="121" t="s">
        <v>424</v>
      </c>
      <c r="H30" s="125" t="s">
        <v>426</v>
      </c>
    </row>
    <row r="31" spans="1:8" s="74" customFormat="1" ht="21" x14ac:dyDescent="0.35">
      <c r="A31" s="128"/>
      <c r="B31" s="129"/>
      <c r="C31" s="129"/>
      <c r="D31" s="129"/>
      <c r="E31" s="129"/>
      <c r="F31" s="129"/>
      <c r="G31" s="130"/>
      <c r="H31" s="129"/>
    </row>
    <row r="32" spans="1:8" s="74" customFormat="1" ht="21" x14ac:dyDescent="0.35">
      <c r="B32" s="127"/>
      <c r="C32" s="127"/>
      <c r="D32" s="127"/>
      <c r="E32" s="127"/>
      <c r="F32" s="127"/>
      <c r="G32" s="127"/>
      <c r="H32" s="127"/>
    </row>
    <row r="33" spans="1:8" s="74" customFormat="1" ht="33.6" customHeight="1" x14ac:dyDescent="0.35">
      <c r="A33" s="61"/>
      <c r="B33" s="62" t="s">
        <v>6</v>
      </c>
      <c r="C33" s="66"/>
      <c r="D33" s="66"/>
      <c r="E33" s="66"/>
      <c r="F33" s="66"/>
      <c r="G33" s="67"/>
      <c r="H33" s="59" t="str">
        <f>H14</f>
        <v>Боровик Г.В.</v>
      </c>
    </row>
    <row r="34" spans="1:8" s="74" customFormat="1" ht="33.6" customHeight="1" x14ac:dyDescent="0.35">
      <c r="A34" s="61"/>
      <c r="B34" s="68"/>
      <c r="C34" s="69"/>
      <c r="D34" s="69"/>
      <c r="E34" s="69"/>
      <c r="F34" s="70"/>
      <c r="G34" s="138" t="s">
        <v>349</v>
      </c>
      <c r="H34" s="138"/>
    </row>
    <row r="35" spans="1:8" s="74" customFormat="1" ht="33.6" customHeight="1" x14ac:dyDescent="0.35">
      <c r="A35" s="61"/>
      <c r="B35" s="62" t="s">
        <v>8</v>
      </c>
      <c r="C35" s="66"/>
      <c r="D35" s="66"/>
      <c r="E35" s="66"/>
      <c r="F35" s="66"/>
      <c r="G35" s="67"/>
      <c r="H35" s="59" t="str">
        <f>H16</f>
        <v>Агеев В.А.</v>
      </c>
    </row>
    <row r="36" spans="1:8" s="74" customFormat="1" ht="33.6" customHeight="1" x14ac:dyDescent="0.35">
      <c r="A36" s="61"/>
      <c r="B36" s="64"/>
      <c r="C36" s="69"/>
      <c r="D36" s="69"/>
      <c r="E36" s="69"/>
      <c r="F36" s="70"/>
      <c r="G36" s="138" t="s">
        <v>349</v>
      </c>
      <c r="H36" s="138"/>
    </row>
    <row r="37" spans="1:8" s="74" customFormat="1" ht="33.6" customHeight="1" x14ac:dyDescent="0.35">
      <c r="A37" s="61"/>
      <c r="B37" s="65"/>
      <c r="C37" s="66"/>
      <c r="D37" s="66"/>
      <c r="E37" s="66"/>
      <c r="F37" s="66"/>
      <c r="G37" s="67"/>
      <c r="H37" s="59" t="str">
        <f>H18</f>
        <v>Сидорчик Д.А.</v>
      </c>
    </row>
    <row r="38" spans="1:8" s="74" customFormat="1" ht="33.6" customHeight="1" x14ac:dyDescent="0.35">
      <c r="A38" s="61"/>
      <c r="B38" s="64"/>
      <c r="C38" s="69"/>
      <c r="D38" s="69"/>
      <c r="E38" s="69"/>
      <c r="F38" s="70"/>
      <c r="G38" s="138" t="s">
        <v>349</v>
      </c>
      <c r="H38" s="138"/>
    </row>
    <row r="39" spans="1:8" s="74" customFormat="1" ht="33.6" customHeight="1" x14ac:dyDescent="0.35">
      <c r="A39" s="61"/>
      <c r="B39" s="64"/>
      <c r="C39" s="66"/>
      <c r="D39" s="66"/>
      <c r="E39" s="66"/>
      <c r="F39" s="66"/>
      <c r="G39" s="67"/>
      <c r="H39" s="59" t="str">
        <f>H20</f>
        <v>Летов А.К.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38" t="s">
        <v>349</v>
      </c>
      <c r="H40" s="138"/>
    </row>
    <row r="41" spans="1:8" s="74" customFormat="1" ht="33.6" customHeight="1" x14ac:dyDescent="0.35">
      <c r="A41" s="61"/>
      <c r="B41" s="62" t="s">
        <v>3</v>
      </c>
      <c r="C41" s="66"/>
      <c r="D41" s="66"/>
      <c r="E41" s="66"/>
      <c r="F41" s="66"/>
      <c r="G41" s="67"/>
      <c r="H41" s="60" t="str">
        <f>H11</f>
        <v>Хабаров Д.Б.</v>
      </c>
    </row>
    <row r="42" spans="1:8" s="74" customFormat="1" ht="33.6" customHeight="1" x14ac:dyDescent="0.35">
      <c r="A42" s="61"/>
      <c r="B42" s="63"/>
      <c r="C42" s="69"/>
      <c r="D42" s="69"/>
      <c r="E42" s="69"/>
      <c r="F42" s="70"/>
      <c r="G42" s="138" t="s">
        <v>349</v>
      </c>
      <c r="H42" s="138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G42:H42"/>
    <mergeCell ref="G34:H34"/>
    <mergeCell ref="G36:H36"/>
    <mergeCell ref="G38:H38"/>
    <mergeCell ref="G40:H40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2026-01-21T06:23:09Z</dcterms:modified>
</cp:coreProperties>
</file>