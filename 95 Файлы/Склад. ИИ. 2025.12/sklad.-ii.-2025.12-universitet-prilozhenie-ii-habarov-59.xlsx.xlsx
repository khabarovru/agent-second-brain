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АКТУ'!$A$1:$H$39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9" l="1"/>
  <c r="H38" i="9" l="1"/>
  <c r="H36" i="9"/>
  <c r="H34" i="9"/>
  <c r="H32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<sst xmlns="http://schemas.openxmlformats.org/spreadsheetml/2006/main" count="744" uniqueCount="427">
  <si>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</si>
  <si>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</si>
  <si>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</si>
  <si>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</si>
  <si>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</si>
  <si>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</si>
  <si>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</si>
  <si>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</si>
  <si>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</si>
  <si>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</si>
  <si>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</si>
  <si>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</si>
  <si>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</si>
  <si>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</si>
  <si>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</si>
  <si>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</si>
  <si>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</si>
  <si>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</si>
  <si>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</si>
  <si>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</si>
  <si>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</si>
  <si>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</si>
  <si>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</si>
  <si>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</si>
  <si>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</si>
  <si>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</si>
  <si>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</si>
  <si>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</si>
  <si>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</si>
  <si>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</si>
  <si>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</si>
  <si>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</si>
  <si>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</si>
  <si>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</si>
  <si>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</si>
  <si>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</si>
  <si>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</si>
  <si>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</si>
  <si>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</si>
  <si>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</si>
  <si>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</si>
  <si>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</si>
  <si>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</si>
  <si>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</si>
  <si>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</si>
  <si>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</si>
  <si>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</si>
  <si>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</si>
  <si>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</si>
  <si>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</si>
  <si>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</si>
  <si>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</si>
  <si>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</si>
  <si>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</si>
  <si>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</si>
  <si>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</si>
  <si>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</si>
  <si>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</si>
  <si>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</si>
  <si>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</si>
  <si>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</si>
  <si>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</si>
  <si>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</si>
  <si>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</si>
  <si>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</si>
  <si>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</si>
  <si>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</si>
  <si>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</si>
  <si>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</si>
  <si>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</si>
  <si>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</si>
  <si>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</si>
  <si>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</si>
  <si>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</si>
  <si>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</si>
  <si>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</si>
  <si>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</si>
  <si>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</si>
  <si>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</si>
  <si>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</si>
  <si>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</si>
  <si>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</si>
  <si>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</si>
  <si>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</si>
  <si>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</si>
  <si>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</si>
  <si>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</si>
  <si>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</si>
  <si>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</si>
  <si>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</si>
  <si>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</si>
  <si>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</si>
  <si>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</si>
  <si>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</si>
  <si>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</si>
  <si>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</si>
  <si>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</si>
  <si>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</si>
  <si>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</si>
  <si>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</si>
  <si>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</si>
  <si>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</si>
  <si>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</si>
  <si>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</si>
  <si>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</si>
  <si>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</si>
  <si>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</si>
  <si>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</si>
  <si>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</si>
  <si>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</si>
  <si>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</si>
  <si>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</si>
  <si>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</si>
  <si>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</si>
  <si>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</si>
  <si>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</si>
  <si>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</si>
  <si>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</si>
  <si>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</si>
  <si>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</si>
  <si>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</si>
  <si>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</si>
  <si>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</si>
  <si>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</si>
  <si>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</si>
  <si>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</si>
  <si>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</si>
  <si>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</si>
  <si>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</si>
  <si>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</si>
  <si>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</si>
  <si>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</si>
  <si>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</si>
  <si>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</si>
  <si>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</si>
  <si>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</si>
  <si>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</si>
  <si>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</si>
  <si>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</si>
  <si>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</si>
  <si>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</si>
  <si>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</si>
  <si>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</si>
  <si>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</si>
  <si>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</si>
  <si>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</si>
  <si>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</si>
  <si>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</si>
  <si>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</si>
  <si>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</si>
  <si>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</si>
  <si>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</si>
  <si>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</si>
  <si>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</si>
  <si>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</si>
  <si>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</si>
  <si>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</si>
  <si>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</si>
  <si>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</si>
  <si>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</si>
  <si>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</si>
  <si>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</si>
  <si>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</si>
  <si>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</si>
  <si>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</si>
  <si>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</si>
  <si>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</si>
  <si>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</si>
  <si>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</si>
  <si>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</si>
  <si>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</si>
  <si>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</si>
  <si>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</si>
  <si>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</si>
  <si>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</si>
  <si>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</si>
  <si>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</si>
  <si>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</si>
  <si>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</si>
  <si>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</si>
  <si>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</si>
  <si>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</si>
  <si>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</si>
  <si>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</si>
  <si>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</si>
  <si>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</si>
  <si>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</si>
  <si>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</si>
  <si>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</si>
  <si>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</si>
  <si>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</si>
  <si>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</si>
  <si>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</si>
  <si>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</si>
  <si>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</si>
  <si>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</si>
  <si>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</si>
  <si>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</si>
  <si>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</si>
  <si>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</si>
  <si>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</si>
  <si>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</si>
  <si>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</si>
  <si>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</si>
  <si>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</si>
  <si>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</si>
  <si>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</si>
  <si>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</si>
  <si>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</si>
  <si>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</si>
  <si>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</si>
  <si>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</si>
  <si>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</si>
  <si>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</si>
  <si>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</si>
  <si>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</si>
  <si>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</si>
  <si>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</si>
  <si>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</si>
  <si>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</si>
  <si>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</si>
  <si>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</si>
  <si>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</si>
  <si>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</si>
  <si>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</si>
  <si>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</si>
  <si>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</si>
  <si>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</si>
  <si>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</si>
  <si>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</si>
  <si>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</si>
  <si>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</si>
  <si>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</si>
  <si>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</si>
  <si>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</si>
  <si>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</si>
  <si>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</si>
  <si>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</si>
  <si>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</si>
  <si>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</si>
  <si>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</si>
  <si>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</si>
  <si>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</si>
  <si>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</si>
  <si>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</si>
  <si>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</si>
  <si>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</si>
  <si>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</si>
  <si>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</si>
  <si>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</si>
  <si>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</si>
  <si>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</si>
  <si>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</si>
  <si>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</si>
  <si>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</si>
  <si>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</si>
  <si>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</si>
  <si>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</si>
  <si>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</si>
  <si>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</si>
  <si>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</si>
  <si>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</si>
  <si>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</si>
  <si>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</si>
  <si>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</si>
  <si>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</si>
  <si>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</si>
  <si>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</si>
  <si>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</si>
  <si>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</si>
  <si>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</si>
  <si>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</si>
  <si>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</si>
  <si>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</si>
  <si>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</si>
  <si>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</si>
  <si>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</si>
  <si>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</si>
  <si>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</si>
  <si>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</si>
  <si>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</si>
  <si>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</si>
  <si>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</si>
  <si>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</si>
  <si>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</si>
  <si>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</si>
  <si>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</si>
  <si>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</si>
  <si>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</si>
  <si>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</si>
  <si>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</si>
  <si>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</si>
  <si>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</si>
  <si>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</si>
  <si>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</si>
  <si>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</si>
  <si>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</si>
  <si>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</si>
  <si>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</si>
  <si>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</si>
  <si>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</si>
  <si>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</si>
  <si>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</si>
  <si>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</si>
  <si>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</si>
  <si>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</si>
  <si>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</si>
  <si>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</si>
  <si>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</si>
  <si>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</si>
  <si>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</si>
  <si>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</si>
  <si>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</si>
  <si>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</si>
  <si>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</si>
  <si>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</si>
  <si>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</si>
  <si>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</si>
  <si>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</si>
  <si>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</si>
  <si>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</si>
  <si>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</si>
  <si>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</si>
  <si>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</si>
  <si>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</si>
  <si>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</si>
  <si>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</si>
  <si>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</si>
  <si>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</si>
  <si>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</si>
  <si>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</si>
  <si>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</si>
  <si>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</si>
  <si>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</si>
  <si>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</si>
  <si>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</si>
  <si>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</si>
  <si>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</si>
  <si>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</si>
  <si>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</si>
  <si>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</si>
  <si>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</si>
  <si>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</si>
  <si>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</si>
  <si>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</si>
  <si>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</si>
  <si>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</si>
  <si>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</si>
  <si>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</si>
  <si>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</si>
  <si>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</si>
  <si>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</si>
  <si>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</si>
  <si>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</si>
  <si>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</si>
  <si>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</si>
  <si>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</si>
  <si>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</si>
  <si>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</si>
  <si>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</si>
  <si>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</si>
  <si>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</si>
  <si>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</si>
  <si>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</si>
  <si>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</si>
  <si>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</si>
  <si>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</si>
  <si>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</si>
  <si>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</si>
  <si>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</si>
  <si>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</si>
  <si>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</si>
  <si>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</si>
  <si>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</si>
  <si>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</si>
  <si>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</si>
  <si>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</si>
  <si>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</si>
  <si>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</si>
  <si>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</si>
  <si>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</si>
  <si>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</si>
  <si>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</si>
  <si>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</si>
  <si>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</si>
  <si>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</si>
  <si>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</si>
  <si>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</si>
  <si>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</si>
  <si>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</si>
  <si>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</si>
  <si>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</si>
  <si>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</si>
  <si>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</si>
  <si>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</si>
  <si>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</si>
  <si>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</si>
  <si>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</si>
  <si>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</si>
  <si>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</si>
  <si>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</si>
  <si>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</si>
  <si>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</si>
  <si>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</si>
  <si>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</si>
  <si>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</si>
  <si>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</si>
  <si>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</si>
  <si>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</si>
  <si>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</si>
  <si>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</si>
  <si>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</si>
  <si>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</si>
  <si>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</si>
  <si>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</si>
  <si>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</si>
  <si>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</si>
  <si>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</si>
  <si>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</si>
  <si>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</si>
  <si>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t>Королев Л.В.</t>
  </si>
  <si>
    <t>Николенко А.Ю.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</si>
  <si>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№202512У</t>
    </r>
  </si>
  <si>
    <t>Преобразователь напряжения 4,5В-32В в 1,25В-37В (15Вт макс) с дисплеем</t>
  </si>
  <si>
    <t>Техническое обслуживание лифтового оборудования</t>
  </si>
  <si>
    <t>Заявка на обеспечение II00-0000954 от 13.08.2025</t>
  </si>
  <si>
    <t>Эксплуатация и ТО _Ф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</si>
</sst>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6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16" zoomScale="85" zoomScaleNormal="85" zoomScaleSheetLayoutView="115" workbookViewId="0">
      <selection activeCell="B25" sqref="B25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2" t="s">
        <v>364</v>
      </c>
      <c r="B1" s="132"/>
      <c r="C1" s="132"/>
      <c r="D1" s="132"/>
      <c r="E1" s="132"/>
      <c r="F1" s="132"/>
      <c r="G1" s="132"/>
      <c r="H1" s="132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3" t="s">
        <v>422</v>
      </c>
      <c r="C7" s="133"/>
      <c r="D7" s="133"/>
      <c r="E7" s="133"/>
      <c r="F7" s="133"/>
      <c r="G7" s="133"/>
      <c r="H7" s="133"/>
    </row>
    <row r="8" spans="1:8" s="74" customFormat="1" ht="21" x14ac:dyDescent="0.35">
      <c r="A8" s="75"/>
      <c r="B8" s="134">
        <f ca="1">NOW()+0</f>
        <v>46043.39356423611</v>
      </c>
      <c r="C8" s="134"/>
      <c r="D8" s="134"/>
      <c r="E8" s="134"/>
      <c r="F8" s="134"/>
      <c r="G8" s="134"/>
      <c r="H8" s="134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1" t="str">
        <f>IF(H11&lt;&gt;0,(VLOOKUP(H11,Сотрудники!D:E,2,0)),0)</f>
        <v>Руководитель группы</v>
      </c>
      <c r="D11" s="131"/>
      <c r="E11" s="131"/>
      <c r="F11" s="131"/>
      <c r="G11" s="131"/>
      <c r="H11" s="88" t="s">
        <v>416</v>
      </c>
    </row>
    <row r="12" spans="1:8" s="74" customFormat="1" ht="21" x14ac:dyDescent="0.35">
      <c r="A12" s="89"/>
      <c r="B12" s="89"/>
      <c r="C12" s="129" t="s">
        <v>4</v>
      </c>
      <c r="D12" s="129"/>
      <c r="E12" s="129"/>
      <c r="F12" s="129"/>
      <c r="G12" s="135" t="s">
        <v>351</v>
      </c>
      <c r="H12" s="135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1" t="str">
        <f>IF(H14&lt;&gt;0,(VLOOKUP(H14,Сотрудники!D:E,2,0)),0)</f>
        <v>Главный инженер объекта</v>
      </c>
      <c r="D14" s="131"/>
      <c r="E14" s="131"/>
      <c r="F14" s="131"/>
      <c r="G14" s="131"/>
      <c r="H14" s="88" t="s">
        <v>420</v>
      </c>
    </row>
    <row r="15" spans="1:8" s="74" customFormat="1" ht="21" x14ac:dyDescent="0.35">
      <c r="A15" s="75"/>
      <c r="B15" s="93"/>
      <c r="C15" s="129" t="s">
        <v>4</v>
      </c>
      <c r="D15" s="129"/>
      <c r="E15" s="129"/>
      <c r="F15" s="129"/>
      <c r="G15" s="130" t="s">
        <v>351</v>
      </c>
      <c r="H15" s="130"/>
    </row>
    <row r="16" spans="1:8" s="74" customFormat="1" ht="68.45" customHeight="1" x14ac:dyDescent="0.35">
      <c r="A16" s="86" t="s">
        <v>8</v>
      </c>
      <c r="B16" s="87"/>
      <c r="C16" s="131" t="str">
        <f>IF(H16&lt;&gt;0,(VLOOKUP(H16,Сотрудники!D:E,2,0)),0)</f>
        <v>Ведущий инженер</v>
      </c>
      <c r="D16" s="131"/>
      <c r="E16" s="131"/>
      <c r="F16" s="131"/>
      <c r="G16" s="131"/>
      <c r="H16" s="88" t="s">
        <v>417</v>
      </c>
    </row>
    <row r="17" spans="1:8" s="74" customFormat="1" ht="40.15" customHeight="1" x14ac:dyDescent="0.35">
      <c r="A17" s="75"/>
      <c r="B17" s="93"/>
      <c r="C17" s="129" t="s">
        <v>4</v>
      </c>
      <c r="D17" s="129"/>
      <c r="E17" s="129"/>
      <c r="F17" s="129"/>
      <c r="G17" s="130" t="s">
        <v>351</v>
      </c>
      <c r="H17" s="130"/>
    </row>
    <row r="18" spans="1:8" s="74" customFormat="1" ht="69.599999999999994" customHeight="1" x14ac:dyDescent="0.35">
      <c r="A18" s="75"/>
      <c r="B18" s="94"/>
      <c r="C18" s="131" t="str">
        <f>IF(H18&lt;&gt;0,(VLOOKUP(H18,Сотрудники!D:E,2,0)),0)</f>
        <v>Ведущий инженер КИПиА</v>
      </c>
      <c r="D18" s="131"/>
      <c r="E18" s="131"/>
      <c r="F18" s="131"/>
      <c r="G18" s="131"/>
      <c r="H18" s="88" t="s">
        <v>418</v>
      </c>
    </row>
    <row r="19" spans="1:8" s="74" customFormat="1" ht="40.15" customHeight="1" x14ac:dyDescent="0.35">
      <c r="A19" s="75"/>
      <c r="B19" s="93"/>
      <c r="C19" s="129" t="s">
        <v>4</v>
      </c>
      <c r="D19" s="129"/>
      <c r="E19" s="129"/>
      <c r="F19" s="129"/>
      <c r="G19" s="130" t="s">
        <v>351</v>
      </c>
      <c r="H19" s="130"/>
    </row>
    <row r="20" spans="1:8" s="74" customFormat="1" ht="69.599999999999994" customHeight="1" x14ac:dyDescent="0.35">
      <c r="B20" s="93"/>
      <c r="C20" s="131" t="str">
        <f>IF(H20&lt;&gt;0,(VLOOKUP(H20,Сотрудники!D:E,2,0)),0)</f>
        <v>Главный специалист СБ</v>
      </c>
      <c r="D20" s="131"/>
      <c r="E20" s="131"/>
      <c r="F20" s="131"/>
      <c r="G20" s="131"/>
      <c r="H20" s="88" t="s">
        <v>421</v>
      </c>
    </row>
    <row r="21" spans="1:8" s="74" customFormat="1" ht="21" x14ac:dyDescent="0.35">
      <c r="B21" s="93"/>
      <c r="C21" s="129" t="s">
        <v>4</v>
      </c>
      <c r="D21" s="129"/>
      <c r="E21" s="129"/>
      <c r="F21" s="129"/>
      <c r="G21" s="130" t="s">
        <v>351</v>
      </c>
      <c r="H21" s="130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236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426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7" t="s">
        <v>423</v>
      </c>
      <c r="C29" s="122"/>
      <c r="D29" s="121" t="s">
        <v>415</v>
      </c>
      <c r="E29" s="126">
        <v>25</v>
      </c>
      <c r="F29" s="123" t="s">
        <v>419</v>
      </c>
      <c r="G29" s="127" t="s">
        <v>425</v>
      </c>
      <c r="H29" s="124" t="s">
        <v>424</v>
      </c>
    </row>
    <row r="30" spans="1:8" s="74" customFormat="1" ht="33.6" customHeight="1" x14ac:dyDescent="0.35">
      <c r="A30" s="61"/>
      <c r="B30" s="62" t="s">
        <v>6</v>
      </c>
      <c r="C30" s="66"/>
      <c r="D30" s="66"/>
      <c r="E30" s="66"/>
      <c r="F30" s="66"/>
      <c r="G30" s="67"/>
      <c r="H30" s="59" t="str">
        <f>H14</f>
        <v>Королев Л.В.</v>
      </c>
    </row>
    <row r="31" spans="1:8" s="74" customFormat="1" ht="33.6" customHeight="1" x14ac:dyDescent="0.35">
      <c r="A31" s="61"/>
      <c r="B31" s="68"/>
      <c r="C31" s="69"/>
      <c r="D31" s="69"/>
      <c r="E31" s="69"/>
      <c r="F31" s="70"/>
      <c r="G31" s="128" t="s">
        <v>349</v>
      </c>
      <c r="H31" s="128"/>
    </row>
    <row r="32" spans="1:8" s="74" customFormat="1" ht="33.6" customHeight="1" x14ac:dyDescent="0.35">
      <c r="A32" s="61"/>
      <c r="B32" s="62" t="s">
        <v>8</v>
      </c>
      <c r="C32" s="66"/>
      <c r="D32" s="66"/>
      <c r="E32" s="66"/>
      <c r="F32" s="66"/>
      <c r="G32" s="67"/>
      <c r="H32" s="59" t="str">
        <f>H16</f>
        <v>Агеев В.А.</v>
      </c>
    </row>
    <row r="33" spans="1:8" s="74" customFormat="1" ht="33.6" customHeight="1" x14ac:dyDescent="0.35">
      <c r="A33" s="61"/>
      <c r="B33" s="64"/>
      <c r="C33" s="69"/>
      <c r="D33" s="69"/>
      <c r="E33" s="69"/>
      <c r="F33" s="70"/>
      <c r="G33" s="128" t="s">
        <v>349</v>
      </c>
      <c r="H33" s="128"/>
    </row>
    <row r="34" spans="1:8" s="74" customFormat="1" ht="33.6" customHeight="1" x14ac:dyDescent="0.35">
      <c r="A34" s="61"/>
      <c r="B34" s="65"/>
      <c r="C34" s="66"/>
      <c r="D34" s="66"/>
      <c r="E34" s="66"/>
      <c r="F34" s="66"/>
      <c r="G34" s="67"/>
      <c r="H34" s="59" t="str">
        <f>H18</f>
        <v>Сидорчик Д.А.</v>
      </c>
    </row>
    <row r="35" spans="1:8" s="74" customFormat="1" ht="33.6" customHeight="1" x14ac:dyDescent="0.35">
      <c r="A35" s="61"/>
      <c r="B35" s="64"/>
      <c r="C35" s="69"/>
      <c r="D35" s="69"/>
      <c r="E35" s="69"/>
      <c r="F35" s="70"/>
      <c r="G35" s="128" t="s">
        <v>349</v>
      </c>
      <c r="H35" s="128"/>
    </row>
    <row r="36" spans="1:8" s="74" customFormat="1" ht="33.6" customHeight="1" x14ac:dyDescent="0.35">
      <c r="A36" s="61"/>
      <c r="B36" s="64"/>
      <c r="C36" s="66"/>
      <c r="D36" s="66"/>
      <c r="E36" s="66"/>
      <c r="F36" s="66"/>
      <c r="G36" s="67"/>
      <c r="H36" s="59" t="str">
        <f>H20</f>
        <v>Николенко А.Ю.</v>
      </c>
    </row>
    <row r="37" spans="1:8" s="74" customFormat="1" ht="33.6" customHeight="1" x14ac:dyDescent="0.35">
      <c r="A37" s="61"/>
      <c r="B37" s="64"/>
      <c r="C37" s="69"/>
      <c r="D37" s="69"/>
      <c r="E37" s="69"/>
      <c r="F37" s="70"/>
      <c r="G37" s="128" t="s">
        <v>349</v>
      </c>
      <c r="H37" s="128"/>
    </row>
    <row r="38" spans="1:8" s="74" customFormat="1" ht="33.6" customHeight="1" x14ac:dyDescent="0.35">
      <c r="A38" s="61"/>
      <c r="B38" s="62" t="s">
        <v>3</v>
      </c>
      <c r="C38" s="66"/>
      <c r="D38" s="66"/>
      <c r="E38" s="66"/>
      <c r="F38" s="66"/>
      <c r="G38" s="67"/>
      <c r="H38" s="60" t="str">
        <f>H11</f>
        <v>Хабаров Д.Б.</v>
      </c>
    </row>
    <row r="39" spans="1:8" s="74" customFormat="1" ht="33.6" customHeight="1" x14ac:dyDescent="0.35">
      <c r="A39" s="61"/>
      <c r="B39" s="63"/>
      <c r="C39" s="69"/>
      <c r="D39" s="69"/>
      <c r="E39" s="69"/>
      <c r="F39" s="70"/>
      <c r="G39" s="128" t="s">
        <v>349</v>
      </c>
      <c r="H39" s="128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39:H39"/>
    <mergeCell ref="G31:H31"/>
    <mergeCell ref="G33:H33"/>
    <mergeCell ref="G35:H35"/>
    <mergeCell ref="G37:H37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2026-01-21T06:26:45Z</dcterms:modified>
</cp:coreProperties>
</file>